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CV\Grad CV\Projects\Inventory Dashboard Layout\"/>
    </mc:Choice>
  </mc:AlternateContent>
  <xr:revisionPtr revIDLastSave="0" documentId="13_ncr:20001_{9E6D743F-4B7F-4FFB-AD66-8CFD28BBF7B6}" xr6:coauthVersionLast="47" xr6:coauthVersionMax="47" xr10:uidLastSave="{00000000-0000-0000-0000-000000000000}"/>
  <bookViews>
    <workbookView xWindow="-120" yWindow="-120" windowWidth="38640" windowHeight="21120" activeTab="7" xr2:uid="{00000000-000D-0000-FFFF-FFFF00000000}"/>
  </bookViews>
  <sheets>
    <sheet name="Raw_Inventory_Data" sheetId="2" r:id="rId1"/>
    <sheet name="Stock_Movements" sheetId="3" r:id="rId2"/>
    <sheet name="Reorder_Model" sheetId="4" r:id="rId3"/>
    <sheet name="KPIs" sheetId="5" r:id="rId4"/>
    <sheet name="Analysis" sheetId="6" r:id="rId5"/>
    <sheet name="Scenario_Model" sheetId="7" r:id="rId6"/>
    <sheet name="Dashboard" sheetId="8" r:id="rId7"/>
    <sheet name="Control_Panel" sheetId="9" r:id="rId8"/>
    <sheet name="Action_View" sheetId="10" r:id="rId9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0" i="9" l="1"/>
  <c r="A19" i="9"/>
  <c r="A18" i="9"/>
  <c r="F17" i="9"/>
  <c r="A17" i="9"/>
  <c r="F16" i="9"/>
  <c r="A16" i="9"/>
  <c r="F15" i="9"/>
  <c r="A15" i="9"/>
  <c r="A25" i="8"/>
  <c r="A24" i="8"/>
  <c r="A23" i="8"/>
  <c r="A22" i="8"/>
  <c r="A21" i="8"/>
  <c r="A20" i="8"/>
  <c r="A16" i="8"/>
  <c r="A15" i="8"/>
  <c r="A14" i="8"/>
  <c r="G13" i="8"/>
  <c r="A13" i="8"/>
  <c r="G12" i="8"/>
  <c r="A12" i="8"/>
  <c r="G11" i="8"/>
  <c r="A11" i="8"/>
  <c r="K73" i="4"/>
  <c r="J73" i="4"/>
  <c r="I73" i="4"/>
  <c r="H73" i="4"/>
  <c r="G73" i="4"/>
  <c r="F73" i="4"/>
  <c r="P73" i="4" s="1"/>
  <c r="E73" i="4"/>
  <c r="D73" i="4"/>
  <c r="C75" i="10" s="1"/>
  <c r="C73" i="4"/>
  <c r="B73" i="4"/>
  <c r="B75" i="10" s="1"/>
  <c r="A73" i="4"/>
  <c r="A75" i="10" s="1"/>
  <c r="N72" i="4"/>
  <c r="M72" i="4"/>
  <c r="F74" i="10" s="1"/>
  <c r="K72" i="4"/>
  <c r="J72" i="4"/>
  <c r="I72" i="4"/>
  <c r="H72" i="4"/>
  <c r="G72" i="4"/>
  <c r="E74" i="10" s="1"/>
  <c r="F72" i="4"/>
  <c r="E72" i="4"/>
  <c r="L72" i="4" s="1"/>
  <c r="D72" i="4"/>
  <c r="C74" i="10" s="1"/>
  <c r="C72" i="4"/>
  <c r="B72" i="4"/>
  <c r="B74" i="10" s="1"/>
  <c r="A72" i="4"/>
  <c r="A74" i="10" s="1"/>
  <c r="L71" i="4"/>
  <c r="K71" i="4"/>
  <c r="P71" i="4" s="1"/>
  <c r="J71" i="4"/>
  <c r="I71" i="4"/>
  <c r="H71" i="4"/>
  <c r="G71" i="4"/>
  <c r="F71" i="4"/>
  <c r="E71" i="4"/>
  <c r="D71" i="4"/>
  <c r="C73" i="10" s="1"/>
  <c r="C71" i="4"/>
  <c r="B71" i="4"/>
  <c r="B73" i="10" s="1"/>
  <c r="A71" i="4"/>
  <c r="A73" i="10" s="1"/>
  <c r="N70" i="4"/>
  <c r="M70" i="4"/>
  <c r="F72" i="10" s="1"/>
  <c r="L70" i="4"/>
  <c r="K70" i="4"/>
  <c r="J70" i="4"/>
  <c r="I70" i="4"/>
  <c r="H70" i="4"/>
  <c r="G70" i="4"/>
  <c r="F70" i="4"/>
  <c r="E70" i="4"/>
  <c r="D70" i="4"/>
  <c r="C72" i="10" s="1"/>
  <c r="C70" i="4"/>
  <c r="B70" i="4"/>
  <c r="B72" i="10" s="1"/>
  <c r="A70" i="4"/>
  <c r="A72" i="10" s="1"/>
  <c r="O69" i="4"/>
  <c r="G71" i="10" s="1"/>
  <c r="N69" i="4"/>
  <c r="L69" i="4"/>
  <c r="K69" i="4"/>
  <c r="J69" i="4"/>
  <c r="I69" i="4"/>
  <c r="H69" i="4"/>
  <c r="G69" i="4"/>
  <c r="E71" i="10" s="1"/>
  <c r="F69" i="4"/>
  <c r="E69" i="4"/>
  <c r="D69" i="4"/>
  <c r="C71" i="10" s="1"/>
  <c r="C69" i="4"/>
  <c r="B69" i="4"/>
  <c r="B71" i="10" s="1"/>
  <c r="A69" i="4"/>
  <c r="A71" i="10" s="1"/>
  <c r="R68" i="4"/>
  <c r="P68" i="4"/>
  <c r="N68" i="4"/>
  <c r="M68" i="4"/>
  <c r="F70" i="10" s="1"/>
  <c r="L68" i="4"/>
  <c r="K68" i="4"/>
  <c r="J68" i="4"/>
  <c r="I68" i="4"/>
  <c r="H68" i="4"/>
  <c r="G68" i="4"/>
  <c r="F68" i="4"/>
  <c r="D70" i="10" s="1"/>
  <c r="E68" i="4"/>
  <c r="D68" i="4"/>
  <c r="C70" i="10" s="1"/>
  <c r="C68" i="4"/>
  <c r="B68" i="4"/>
  <c r="B70" i="10" s="1"/>
  <c r="A68" i="4"/>
  <c r="A70" i="10" s="1"/>
  <c r="P67" i="4"/>
  <c r="N67" i="4"/>
  <c r="O67" i="4" s="1"/>
  <c r="G69" i="10" s="1"/>
  <c r="M67" i="4"/>
  <c r="F69" i="10" s="1"/>
  <c r="L67" i="4"/>
  <c r="K67" i="4"/>
  <c r="J67" i="4"/>
  <c r="I67" i="4"/>
  <c r="H67" i="4"/>
  <c r="G67" i="4"/>
  <c r="E69" i="10" s="1"/>
  <c r="F67" i="4"/>
  <c r="D69" i="10" s="1"/>
  <c r="E67" i="4"/>
  <c r="D67" i="4"/>
  <c r="C69" i="10" s="1"/>
  <c r="C67" i="4"/>
  <c r="B67" i="4"/>
  <c r="B69" i="10" s="1"/>
  <c r="A67" i="4"/>
  <c r="A69" i="10" s="1"/>
  <c r="P66" i="4"/>
  <c r="N66" i="4"/>
  <c r="O66" i="4" s="1"/>
  <c r="K66" i="4"/>
  <c r="J66" i="4"/>
  <c r="I66" i="4"/>
  <c r="H66" i="4"/>
  <c r="G66" i="4"/>
  <c r="E68" i="10" s="1"/>
  <c r="F66" i="4"/>
  <c r="E66" i="4"/>
  <c r="L66" i="4" s="1"/>
  <c r="D66" i="4"/>
  <c r="C68" i="10" s="1"/>
  <c r="C66" i="4"/>
  <c r="B66" i="4"/>
  <c r="B68" i="10" s="1"/>
  <c r="A66" i="4"/>
  <c r="A68" i="10" s="1"/>
  <c r="R65" i="4"/>
  <c r="P65" i="4"/>
  <c r="M65" i="4"/>
  <c r="F67" i="10" s="1"/>
  <c r="L65" i="4"/>
  <c r="K65" i="4"/>
  <c r="J65" i="4"/>
  <c r="I65" i="4"/>
  <c r="H65" i="4"/>
  <c r="G65" i="4"/>
  <c r="F65" i="4"/>
  <c r="D67" i="10" s="1"/>
  <c r="E65" i="4"/>
  <c r="D65" i="4"/>
  <c r="C67" i="10" s="1"/>
  <c r="C65" i="4"/>
  <c r="B65" i="4"/>
  <c r="B67" i="10" s="1"/>
  <c r="A65" i="4"/>
  <c r="A67" i="10" s="1"/>
  <c r="R64" i="4"/>
  <c r="N64" i="4"/>
  <c r="O64" i="4" s="1"/>
  <c r="G66" i="10" s="1"/>
  <c r="M64" i="4"/>
  <c r="F66" i="10" s="1"/>
  <c r="K64" i="4"/>
  <c r="J64" i="4"/>
  <c r="I64" i="4"/>
  <c r="H64" i="4"/>
  <c r="G64" i="4"/>
  <c r="E66" i="10" s="1"/>
  <c r="F64" i="4"/>
  <c r="E64" i="4"/>
  <c r="D64" i="4"/>
  <c r="C66" i="10" s="1"/>
  <c r="C64" i="4"/>
  <c r="B64" i="4"/>
  <c r="B66" i="10" s="1"/>
  <c r="A64" i="4"/>
  <c r="A66" i="10" s="1"/>
  <c r="P63" i="4"/>
  <c r="L63" i="4"/>
  <c r="K63" i="4"/>
  <c r="J63" i="4"/>
  <c r="I63" i="4"/>
  <c r="H63" i="4"/>
  <c r="G63" i="4"/>
  <c r="F63" i="4"/>
  <c r="E63" i="4"/>
  <c r="D63" i="4"/>
  <c r="C65" i="10" s="1"/>
  <c r="C63" i="4"/>
  <c r="B63" i="4"/>
  <c r="B65" i="10" s="1"/>
  <c r="A63" i="4"/>
  <c r="A65" i="10" s="1"/>
  <c r="O62" i="4"/>
  <c r="G64" i="10" s="1"/>
  <c r="N62" i="4"/>
  <c r="M62" i="4"/>
  <c r="F64" i="10" s="1"/>
  <c r="L62" i="4"/>
  <c r="K62" i="4"/>
  <c r="J62" i="4"/>
  <c r="I62" i="4"/>
  <c r="H62" i="4"/>
  <c r="G62" i="4"/>
  <c r="E64" i="10" s="1"/>
  <c r="F62" i="4"/>
  <c r="Q62" i="4" s="1"/>
  <c r="H64" i="10" s="1"/>
  <c r="E62" i="4"/>
  <c r="D62" i="4"/>
  <c r="C64" i="10" s="1"/>
  <c r="C62" i="4"/>
  <c r="B62" i="4"/>
  <c r="B64" i="10" s="1"/>
  <c r="A62" i="4"/>
  <c r="A64" i="10" s="1"/>
  <c r="P61" i="4"/>
  <c r="N61" i="4"/>
  <c r="O61" i="4" s="1"/>
  <c r="G63" i="10" s="1"/>
  <c r="L61" i="4"/>
  <c r="K61" i="4"/>
  <c r="J61" i="4"/>
  <c r="I61" i="4"/>
  <c r="H61" i="4"/>
  <c r="G61" i="4"/>
  <c r="E63" i="10" s="1"/>
  <c r="F61" i="4"/>
  <c r="E61" i="4"/>
  <c r="D61" i="4"/>
  <c r="C63" i="10" s="1"/>
  <c r="C61" i="4"/>
  <c r="B61" i="4"/>
  <c r="B63" i="10" s="1"/>
  <c r="A61" i="4"/>
  <c r="A63" i="10" s="1"/>
  <c r="P60" i="4"/>
  <c r="N60" i="4"/>
  <c r="M60" i="4"/>
  <c r="F62" i="10" s="1"/>
  <c r="K60" i="4"/>
  <c r="J60" i="4"/>
  <c r="I60" i="4"/>
  <c r="H60" i="4"/>
  <c r="G60" i="4"/>
  <c r="F60" i="4"/>
  <c r="D62" i="10" s="1"/>
  <c r="E60" i="4"/>
  <c r="L60" i="4" s="1"/>
  <c r="D60" i="4"/>
  <c r="C62" i="10" s="1"/>
  <c r="C60" i="4"/>
  <c r="B60" i="4"/>
  <c r="B62" i="10" s="1"/>
  <c r="A60" i="4"/>
  <c r="A62" i="10" s="1"/>
  <c r="R59" i="4"/>
  <c r="P59" i="4"/>
  <c r="O59" i="4"/>
  <c r="G61" i="10" s="1"/>
  <c r="N59" i="4"/>
  <c r="M59" i="4"/>
  <c r="F61" i="10" s="1"/>
  <c r="K59" i="4"/>
  <c r="J59" i="4"/>
  <c r="I59" i="4"/>
  <c r="H59" i="4"/>
  <c r="G59" i="4"/>
  <c r="E61" i="10" s="1"/>
  <c r="F59" i="4"/>
  <c r="D61" i="10" s="1"/>
  <c r="E59" i="4"/>
  <c r="L59" i="4" s="1"/>
  <c r="D59" i="4"/>
  <c r="C61" i="10" s="1"/>
  <c r="C59" i="4"/>
  <c r="B59" i="4"/>
  <c r="B61" i="10" s="1"/>
  <c r="A59" i="4"/>
  <c r="A61" i="10" s="1"/>
  <c r="K58" i="4"/>
  <c r="J58" i="4"/>
  <c r="I58" i="4"/>
  <c r="H58" i="4"/>
  <c r="G58" i="4"/>
  <c r="E60" i="10" s="1"/>
  <c r="F58" i="4"/>
  <c r="P58" i="4" s="1"/>
  <c r="E58" i="4"/>
  <c r="L58" i="4" s="1"/>
  <c r="D58" i="4"/>
  <c r="C60" i="10" s="1"/>
  <c r="C58" i="4"/>
  <c r="B58" i="4"/>
  <c r="B60" i="10" s="1"/>
  <c r="A58" i="4"/>
  <c r="A60" i="10" s="1"/>
  <c r="K57" i="4"/>
  <c r="J57" i="4"/>
  <c r="I57" i="4"/>
  <c r="H57" i="4"/>
  <c r="G57" i="4"/>
  <c r="F57" i="4"/>
  <c r="D59" i="10" s="1"/>
  <c r="E57" i="4"/>
  <c r="D57" i="4"/>
  <c r="C59" i="10" s="1"/>
  <c r="C57" i="4"/>
  <c r="B57" i="4"/>
  <c r="B59" i="10" s="1"/>
  <c r="A57" i="4"/>
  <c r="A59" i="10" s="1"/>
  <c r="O56" i="4"/>
  <c r="G58" i="10" s="1"/>
  <c r="N56" i="4"/>
  <c r="K56" i="4"/>
  <c r="J56" i="4"/>
  <c r="I56" i="4"/>
  <c r="H56" i="4"/>
  <c r="G56" i="4"/>
  <c r="E58" i="10" s="1"/>
  <c r="F56" i="4"/>
  <c r="M56" i="4" s="1"/>
  <c r="E56" i="4"/>
  <c r="L56" i="4" s="1"/>
  <c r="D56" i="4"/>
  <c r="C58" i="10" s="1"/>
  <c r="C56" i="4"/>
  <c r="B56" i="4"/>
  <c r="B58" i="10" s="1"/>
  <c r="A56" i="4"/>
  <c r="A58" i="10" s="1"/>
  <c r="K55" i="4"/>
  <c r="J55" i="4"/>
  <c r="I55" i="4"/>
  <c r="H55" i="4"/>
  <c r="G55" i="4"/>
  <c r="F55" i="4"/>
  <c r="D57" i="10" s="1"/>
  <c r="E55" i="4"/>
  <c r="L55" i="4" s="1"/>
  <c r="D55" i="4"/>
  <c r="C57" i="10" s="1"/>
  <c r="C55" i="4"/>
  <c r="B55" i="4"/>
  <c r="B57" i="10" s="1"/>
  <c r="A55" i="4"/>
  <c r="A57" i="10" s="1"/>
  <c r="K54" i="4"/>
  <c r="J54" i="4"/>
  <c r="I54" i="4"/>
  <c r="H54" i="4"/>
  <c r="G54" i="4"/>
  <c r="E56" i="10" s="1"/>
  <c r="F54" i="4"/>
  <c r="E54" i="4"/>
  <c r="D54" i="4"/>
  <c r="C56" i="10" s="1"/>
  <c r="C54" i="4"/>
  <c r="B54" i="4"/>
  <c r="B56" i="10" s="1"/>
  <c r="A54" i="4"/>
  <c r="A56" i="10" s="1"/>
  <c r="P53" i="4"/>
  <c r="O53" i="4"/>
  <c r="G55" i="10" s="1"/>
  <c r="N53" i="4"/>
  <c r="K53" i="4"/>
  <c r="J53" i="4"/>
  <c r="I53" i="4"/>
  <c r="H53" i="4"/>
  <c r="G53" i="4"/>
  <c r="E55" i="10" s="1"/>
  <c r="F53" i="4"/>
  <c r="M53" i="4" s="1"/>
  <c r="E53" i="4"/>
  <c r="L53" i="4" s="1"/>
  <c r="D53" i="4"/>
  <c r="C55" i="10" s="1"/>
  <c r="C53" i="4"/>
  <c r="B53" i="4"/>
  <c r="B55" i="10" s="1"/>
  <c r="A53" i="4"/>
  <c r="A55" i="10" s="1"/>
  <c r="K52" i="4"/>
  <c r="J52" i="4"/>
  <c r="I52" i="4"/>
  <c r="H52" i="4"/>
  <c r="G52" i="4"/>
  <c r="N52" i="4" s="1"/>
  <c r="F52" i="4"/>
  <c r="D54" i="10" s="1"/>
  <c r="E52" i="4"/>
  <c r="L52" i="4" s="1"/>
  <c r="D52" i="4"/>
  <c r="C54" i="10" s="1"/>
  <c r="C52" i="4"/>
  <c r="B52" i="4"/>
  <c r="B54" i="10" s="1"/>
  <c r="A52" i="4"/>
  <c r="A54" i="10" s="1"/>
  <c r="K51" i="4"/>
  <c r="J51" i="4"/>
  <c r="I51" i="4"/>
  <c r="H51" i="4"/>
  <c r="G51" i="4"/>
  <c r="E53" i="10" s="1"/>
  <c r="F51" i="4"/>
  <c r="D53" i="10" s="1"/>
  <c r="E51" i="4"/>
  <c r="L51" i="4" s="1"/>
  <c r="D51" i="4"/>
  <c r="C53" i="10" s="1"/>
  <c r="C51" i="4"/>
  <c r="B51" i="4"/>
  <c r="B53" i="10" s="1"/>
  <c r="A51" i="4"/>
  <c r="A53" i="10" s="1"/>
  <c r="K50" i="4"/>
  <c r="J50" i="4"/>
  <c r="I50" i="4"/>
  <c r="H50" i="4"/>
  <c r="G50" i="4"/>
  <c r="E52" i="10" s="1"/>
  <c r="F50" i="4"/>
  <c r="E50" i="4"/>
  <c r="D50" i="4"/>
  <c r="C52" i="10" s="1"/>
  <c r="C50" i="4"/>
  <c r="B50" i="4"/>
  <c r="B52" i="10" s="1"/>
  <c r="A50" i="4"/>
  <c r="A52" i="10" s="1"/>
  <c r="K49" i="4"/>
  <c r="J49" i="4"/>
  <c r="I49" i="4"/>
  <c r="H49" i="4"/>
  <c r="G49" i="4"/>
  <c r="F49" i="4"/>
  <c r="D51" i="10" s="1"/>
  <c r="E49" i="4"/>
  <c r="D49" i="4"/>
  <c r="C51" i="10" s="1"/>
  <c r="C49" i="4"/>
  <c r="B49" i="4"/>
  <c r="B51" i="10" s="1"/>
  <c r="A49" i="4"/>
  <c r="A51" i="10" s="1"/>
  <c r="K48" i="4"/>
  <c r="J48" i="4"/>
  <c r="I48" i="4"/>
  <c r="H48" i="4"/>
  <c r="G48" i="4"/>
  <c r="E50" i="10" s="1"/>
  <c r="F48" i="4"/>
  <c r="E48" i="4"/>
  <c r="L48" i="4" s="1"/>
  <c r="D48" i="4"/>
  <c r="C50" i="10" s="1"/>
  <c r="C48" i="4"/>
  <c r="B48" i="4"/>
  <c r="B50" i="10" s="1"/>
  <c r="A48" i="4"/>
  <c r="A50" i="10" s="1"/>
  <c r="K47" i="4"/>
  <c r="J47" i="4"/>
  <c r="I47" i="4"/>
  <c r="H47" i="4"/>
  <c r="G47" i="4"/>
  <c r="F47" i="4"/>
  <c r="D49" i="10" s="1"/>
  <c r="E47" i="4"/>
  <c r="L47" i="4" s="1"/>
  <c r="D47" i="4"/>
  <c r="C49" i="10" s="1"/>
  <c r="C47" i="4"/>
  <c r="B47" i="4"/>
  <c r="B49" i="10" s="1"/>
  <c r="A47" i="4"/>
  <c r="A49" i="10" s="1"/>
  <c r="K46" i="4"/>
  <c r="J46" i="4"/>
  <c r="I46" i="4"/>
  <c r="H46" i="4"/>
  <c r="G46" i="4"/>
  <c r="E48" i="10" s="1"/>
  <c r="F46" i="4"/>
  <c r="E46" i="4"/>
  <c r="D46" i="4"/>
  <c r="C48" i="10" s="1"/>
  <c r="C46" i="4"/>
  <c r="B46" i="4"/>
  <c r="B48" i="10" s="1"/>
  <c r="A46" i="4"/>
  <c r="A48" i="10" s="1"/>
  <c r="K45" i="4"/>
  <c r="J45" i="4"/>
  <c r="I45" i="4"/>
  <c r="H45" i="4"/>
  <c r="N45" i="4" s="1"/>
  <c r="G45" i="4"/>
  <c r="E47" i="10" s="1"/>
  <c r="F45" i="4"/>
  <c r="M45" i="4" s="1"/>
  <c r="E45" i="4"/>
  <c r="L45" i="4" s="1"/>
  <c r="D45" i="4"/>
  <c r="C47" i="10" s="1"/>
  <c r="C45" i="4"/>
  <c r="B45" i="4"/>
  <c r="B47" i="10" s="1"/>
  <c r="A45" i="4"/>
  <c r="A47" i="10" s="1"/>
  <c r="K44" i="4"/>
  <c r="J44" i="4"/>
  <c r="I44" i="4"/>
  <c r="H44" i="4"/>
  <c r="G44" i="4"/>
  <c r="F44" i="4"/>
  <c r="D46" i="10" s="1"/>
  <c r="E44" i="4"/>
  <c r="L44" i="4" s="1"/>
  <c r="D44" i="4"/>
  <c r="C46" i="10" s="1"/>
  <c r="C44" i="4"/>
  <c r="B44" i="4"/>
  <c r="B46" i="10" s="1"/>
  <c r="A44" i="4"/>
  <c r="A46" i="10" s="1"/>
  <c r="K43" i="4"/>
  <c r="J43" i="4"/>
  <c r="I43" i="4"/>
  <c r="H43" i="4"/>
  <c r="G43" i="4"/>
  <c r="E45" i="10" s="1"/>
  <c r="F43" i="4"/>
  <c r="D45" i="10" s="1"/>
  <c r="E43" i="4"/>
  <c r="L43" i="4" s="1"/>
  <c r="D43" i="4"/>
  <c r="C45" i="10" s="1"/>
  <c r="C43" i="4"/>
  <c r="B43" i="4"/>
  <c r="B45" i="10" s="1"/>
  <c r="A43" i="4"/>
  <c r="A45" i="10" s="1"/>
  <c r="K42" i="4"/>
  <c r="J42" i="4"/>
  <c r="I42" i="4"/>
  <c r="H42" i="4"/>
  <c r="G42" i="4"/>
  <c r="E44" i="10" s="1"/>
  <c r="F42" i="4"/>
  <c r="E42" i="4"/>
  <c r="L42" i="4" s="1"/>
  <c r="D42" i="4"/>
  <c r="C44" i="10" s="1"/>
  <c r="C42" i="4"/>
  <c r="B42" i="4"/>
  <c r="B44" i="10" s="1"/>
  <c r="A42" i="4"/>
  <c r="A44" i="10" s="1"/>
  <c r="K41" i="4"/>
  <c r="J41" i="4"/>
  <c r="I41" i="4"/>
  <c r="H41" i="4"/>
  <c r="G41" i="4"/>
  <c r="F41" i="4"/>
  <c r="D43" i="10" s="1"/>
  <c r="E41" i="4"/>
  <c r="D41" i="4"/>
  <c r="C43" i="10" s="1"/>
  <c r="C41" i="4"/>
  <c r="B41" i="4"/>
  <c r="B43" i="10" s="1"/>
  <c r="A41" i="4"/>
  <c r="A43" i="10" s="1"/>
  <c r="K40" i="4"/>
  <c r="J40" i="4"/>
  <c r="I40" i="4"/>
  <c r="H40" i="4"/>
  <c r="G40" i="4"/>
  <c r="E42" i="10" s="1"/>
  <c r="F40" i="4"/>
  <c r="E40" i="4"/>
  <c r="D40" i="4"/>
  <c r="C42" i="10" s="1"/>
  <c r="C40" i="4"/>
  <c r="B40" i="4"/>
  <c r="B42" i="10" s="1"/>
  <c r="A40" i="4"/>
  <c r="A42" i="10" s="1"/>
  <c r="K39" i="4"/>
  <c r="J39" i="4"/>
  <c r="I39" i="4"/>
  <c r="H39" i="4"/>
  <c r="G39" i="4"/>
  <c r="F39" i="4"/>
  <c r="D41" i="10" s="1"/>
  <c r="E39" i="4"/>
  <c r="L39" i="4" s="1"/>
  <c r="D39" i="4"/>
  <c r="C41" i="10" s="1"/>
  <c r="C39" i="4"/>
  <c r="B39" i="4"/>
  <c r="B41" i="10" s="1"/>
  <c r="A39" i="4"/>
  <c r="A41" i="10" s="1"/>
  <c r="K38" i="4"/>
  <c r="J38" i="4"/>
  <c r="I38" i="4"/>
  <c r="H38" i="4"/>
  <c r="G38" i="4"/>
  <c r="E40" i="10" s="1"/>
  <c r="F38" i="4"/>
  <c r="E38" i="4"/>
  <c r="D38" i="4"/>
  <c r="C40" i="10" s="1"/>
  <c r="C38" i="4"/>
  <c r="B38" i="4"/>
  <c r="B40" i="10" s="1"/>
  <c r="A38" i="4"/>
  <c r="A40" i="10" s="1"/>
  <c r="K37" i="4"/>
  <c r="P37" i="4" s="1"/>
  <c r="J37" i="4"/>
  <c r="I37" i="4"/>
  <c r="H37" i="4"/>
  <c r="G37" i="4"/>
  <c r="E39" i="10" s="1"/>
  <c r="F37" i="4"/>
  <c r="M37" i="4" s="1"/>
  <c r="E37" i="4"/>
  <c r="L37" i="4" s="1"/>
  <c r="D37" i="4"/>
  <c r="C39" i="10" s="1"/>
  <c r="C37" i="4"/>
  <c r="B37" i="4"/>
  <c r="B39" i="10" s="1"/>
  <c r="A37" i="4"/>
  <c r="A39" i="10" s="1"/>
  <c r="K36" i="4"/>
  <c r="J36" i="4"/>
  <c r="I36" i="4"/>
  <c r="H36" i="4"/>
  <c r="G36" i="4"/>
  <c r="F36" i="4"/>
  <c r="D38" i="10" s="1"/>
  <c r="E36" i="4"/>
  <c r="L36" i="4" s="1"/>
  <c r="D36" i="4"/>
  <c r="C38" i="10" s="1"/>
  <c r="C36" i="4"/>
  <c r="B36" i="4"/>
  <c r="B38" i="10" s="1"/>
  <c r="A36" i="4"/>
  <c r="A38" i="10" s="1"/>
  <c r="K35" i="4"/>
  <c r="J35" i="4"/>
  <c r="I35" i="4"/>
  <c r="H35" i="4"/>
  <c r="G35" i="4"/>
  <c r="E37" i="10" s="1"/>
  <c r="F35" i="4"/>
  <c r="D37" i="10" s="1"/>
  <c r="E35" i="4"/>
  <c r="L35" i="4" s="1"/>
  <c r="D35" i="4"/>
  <c r="C37" i="10" s="1"/>
  <c r="C35" i="4"/>
  <c r="B35" i="4"/>
  <c r="B37" i="10" s="1"/>
  <c r="A35" i="4"/>
  <c r="A37" i="10" s="1"/>
  <c r="K34" i="4"/>
  <c r="J34" i="4"/>
  <c r="I34" i="4"/>
  <c r="H34" i="4"/>
  <c r="G34" i="4"/>
  <c r="E36" i="10" s="1"/>
  <c r="F34" i="4"/>
  <c r="E34" i="4"/>
  <c r="L34" i="4" s="1"/>
  <c r="D34" i="4"/>
  <c r="C36" i="10" s="1"/>
  <c r="C34" i="4"/>
  <c r="B34" i="4"/>
  <c r="B36" i="10" s="1"/>
  <c r="A34" i="4"/>
  <c r="A36" i="10" s="1"/>
  <c r="K33" i="4"/>
  <c r="J33" i="4"/>
  <c r="I33" i="4"/>
  <c r="H33" i="4"/>
  <c r="G33" i="4"/>
  <c r="F33" i="4"/>
  <c r="D35" i="10" s="1"/>
  <c r="E33" i="4"/>
  <c r="D33" i="4"/>
  <c r="C35" i="10" s="1"/>
  <c r="C33" i="4"/>
  <c r="B33" i="4"/>
  <c r="B35" i="10" s="1"/>
  <c r="A33" i="4"/>
  <c r="A35" i="10" s="1"/>
  <c r="K32" i="4"/>
  <c r="J32" i="4"/>
  <c r="I32" i="4"/>
  <c r="H32" i="4"/>
  <c r="G32" i="4"/>
  <c r="E34" i="10" s="1"/>
  <c r="F32" i="4"/>
  <c r="E32" i="4"/>
  <c r="L32" i="4" s="1"/>
  <c r="D32" i="4"/>
  <c r="C34" i="10" s="1"/>
  <c r="C32" i="4"/>
  <c r="B32" i="4"/>
  <c r="B34" i="10" s="1"/>
  <c r="A32" i="4"/>
  <c r="A34" i="10" s="1"/>
  <c r="K31" i="4"/>
  <c r="J31" i="4"/>
  <c r="I31" i="4"/>
  <c r="H31" i="4"/>
  <c r="G31" i="4"/>
  <c r="F31" i="4"/>
  <c r="D33" i="10" s="1"/>
  <c r="E31" i="4"/>
  <c r="L31" i="4" s="1"/>
  <c r="D31" i="4"/>
  <c r="C33" i="10" s="1"/>
  <c r="C31" i="4"/>
  <c r="B31" i="4"/>
  <c r="B33" i="10" s="1"/>
  <c r="A31" i="4"/>
  <c r="A33" i="10" s="1"/>
  <c r="K30" i="4"/>
  <c r="J30" i="4"/>
  <c r="I30" i="4"/>
  <c r="H30" i="4"/>
  <c r="G30" i="4"/>
  <c r="E32" i="10" s="1"/>
  <c r="F30" i="4"/>
  <c r="E30" i="4"/>
  <c r="D30" i="4"/>
  <c r="C32" i="10" s="1"/>
  <c r="C30" i="4"/>
  <c r="B30" i="4"/>
  <c r="B32" i="10" s="1"/>
  <c r="A30" i="4"/>
  <c r="A32" i="10" s="1"/>
  <c r="K29" i="4"/>
  <c r="J29" i="4"/>
  <c r="I29" i="4"/>
  <c r="H29" i="4"/>
  <c r="G29" i="4"/>
  <c r="E31" i="10" s="1"/>
  <c r="F29" i="4"/>
  <c r="M29" i="4" s="1"/>
  <c r="E29" i="4"/>
  <c r="L29" i="4" s="1"/>
  <c r="D29" i="4"/>
  <c r="C31" i="10" s="1"/>
  <c r="C29" i="4"/>
  <c r="B29" i="4"/>
  <c r="B31" i="10" s="1"/>
  <c r="A29" i="4"/>
  <c r="A31" i="10" s="1"/>
  <c r="K28" i="4"/>
  <c r="J28" i="4"/>
  <c r="I28" i="4"/>
  <c r="H28" i="4"/>
  <c r="G28" i="4"/>
  <c r="F28" i="4"/>
  <c r="D30" i="10" s="1"/>
  <c r="E28" i="4"/>
  <c r="L28" i="4" s="1"/>
  <c r="D28" i="4"/>
  <c r="C30" i="10" s="1"/>
  <c r="C28" i="4"/>
  <c r="B28" i="4"/>
  <c r="B30" i="10" s="1"/>
  <c r="A28" i="4"/>
  <c r="A30" i="10" s="1"/>
  <c r="L27" i="4"/>
  <c r="K27" i="4"/>
  <c r="J27" i="4"/>
  <c r="I27" i="4"/>
  <c r="H27" i="4"/>
  <c r="G27" i="4"/>
  <c r="E29" i="10" s="1"/>
  <c r="F27" i="4"/>
  <c r="D29" i="10" s="1"/>
  <c r="E27" i="4"/>
  <c r="D27" i="4"/>
  <c r="C29" i="10" s="1"/>
  <c r="C27" i="4"/>
  <c r="B27" i="4"/>
  <c r="B29" i="10" s="1"/>
  <c r="A27" i="4"/>
  <c r="A29" i="10" s="1"/>
  <c r="K26" i="4"/>
  <c r="J26" i="4"/>
  <c r="I26" i="4"/>
  <c r="H26" i="4"/>
  <c r="G26" i="4"/>
  <c r="E28" i="10" s="1"/>
  <c r="F26" i="4"/>
  <c r="E26" i="4"/>
  <c r="D26" i="4"/>
  <c r="C28" i="10" s="1"/>
  <c r="C26" i="4"/>
  <c r="B26" i="4"/>
  <c r="B28" i="10" s="1"/>
  <c r="A26" i="4"/>
  <c r="A28" i="10" s="1"/>
  <c r="K25" i="4"/>
  <c r="J25" i="4"/>
  <c r="I25" i="4"/>
  <c r="H25" i="4"/>
  <c r="G25" i="4"/>
  <c r="F25" i="4"/>
  <c r="D27" i="10" s="1"/>
  <c r="E25" i="4"/>
  <c r="D25" i="4"/>
  <c r="C27" i="10" s="1"/>
  <c r="C25" i="4"/>
  <c r="B25" i="4"/>
  <c r="B27" i="10" s="1"/>
  <c r="A25" i="4"/>
  <c r="A27" i="10" s="1"/>
  <c r="K24" i="4"/>
  <c r="J24" i="4"/>
  <c r="I24" i="4"/>
  <c r="H24" i="4"/>
  <c r="G24" i="4"/>
  <c r="E26" i="10" s="1"/>
  <c r="F24" i="4"/>
  <c r="M24" i="4" s="1"/>
  <c r="E24" i="4"/>
  <c r="D24" i="4"/>
  <c r="C26" i="10" s="1"/>
  <c r="C24" i="4"/>
  <c r="B24" i="4"/>
  <c r="B26" i="10" s="1"/>
  <c r="A24" i="4"/>
  <c r="A26" i="10" s="1"/>
  <c r="K23" i="4"/>
  <c r="J23" i="4"/>
  <c r="I23" i="4"/>
  <c r="H23" i="4"/>
  <c r="G23" i="4"/>
  <c r="F23" i="4"/>
  <c r="D25" i="10" s="1"/>
  <c r="E23" i="4"/>
  <c r="L23" i="4" s="1"/>
  <c r="D23" i="4"/>
  <c r="C25" i="10" s="1"/>
  <c r="C23" i="4"/>
  <c r="B23" i="4"/>
  <c r="B25" i="10" s="1"/>
  <c r="A23" i="4"/>
  <c r="A25" i="10" s="1"/>
  <c r="K22" i="4"/>
  <c r="J22" i="4"/>
  <c r="I22" i="4"/>
  <c r="H22" i="4"/>
  <c r="G22" i="4"/>
  <c r="E24" i="10" s="1"/>
  <c r="F22" i="4"/>
  <c r="E22" i="4"/>
  <c r="D22" i="4"/>
  <c r="C24" i="10" s="1"/>
  <c r="C22" i="4"/>
  <c r="B22" i="4"/>
  <c r="B24" i="10" s="1"/>
  <c r="A22" i="4"/>
  <c r="A24" i="10" s="1"/>
  <c r="L21" i="4"/>
  <c r="K21" i="4"/>
  <c r="J21" i="4"/>
  <c r="I21" i="4"/>
  <c r="H21" i="4"/>
  <c r="G21" i="4"/>
  <c r="E23" i="10" s="1"/>
  <c r="F21" i="4"/>
  <c r="E21" i="4"/>
  <c r="D21" i="4"/>
  <c r="C23" i="10" s="1"/>
  <c r="C21" i="4"/>
  <c r="B21" i="4"/>
  <c r="B23" i="10" s="1"/>
  <c r="A21" i="4"/>
  <c r="A23" i="10" s="1"/>
  <c r="L20" i="4"/>
  <c r="K20" i="4"/>
  <c r="J20" i="4"/>
  <c r="I20" i="4"/>
  <c r="H20" i="4"/>
  <c r="G20" i="4"/>
  <c r="F20" i="4"/>
  <c r="D22" i="10" s="1"/>
  <c r="E20" i="4"/>
  <c r="D20" i="4"/>
  <c r="C22" i="10" s="1"/>
  <c r="C20" i="4"/>
  <c r="B20" i="4"/>
  <c r="B22" i="10" s="1"/>
  <c r="A20" i="4"/>
  <c r="A22" i="10" s="1"/>
  <c r="M19" i="4"/>
  <c r="F21" i="10" s="1"/>
  <c r="L19" i="4"/>
  <c r="K19" i="4"/>
  <c r="J19" i="4"/>
  <c r="I19" i="4"/>
  <c r="H19" i="4"/>
  <c r="G19" i="4"/>
  <c r="E21" i="10" s="1"/>
  <c r="F19" i="4"/>
  <c r="D21" i="10" s="1"/>
  <c r="E19" i="4"/>
  <c r="D19" i="4"/>
  <c r="C21" i="10" s="1"/>
  <c r="C19" i="4"/>
  <c r="B19" i="4"/>
  <c r="B21" i="10" s="1"/>
  <c r="A19" i="4"/>
  <c r="A21" i="10" s="1"/>
  <c r="K18" i="4"/>
  <c r="J18" i="4"/>
  <c r="I18" i="4"/>
  <c r="H18" i="4"/>
  <c r="G18" i="4"/>
  <c r="E20" i="10" s="1"/>
  <c r="F18" i="4"/>
  <c r="E18" i="4"/>
  <c r="D18" i="4"/>
  <c r="C20" i="10" s="1"/>
  <c r="C18" i="4"/>
  <c r="B18" i="4"/>
  <c r="B20" i="10" s="1"/>
  <c r="A18" i="4"/>
  <c r="A20" i="10" s="1"/>
  <c r="K17" i="4"/>
  <c r="M17" i="4" s="1"/>
  <c r="J17" i="4"/>
  <c r="I17" i="4"/>
  <c r="H17" i="4"/>
  <c r="G17" i="4"/>
  <c r="F17" i="4"/>
  <c r="D19" i="10" s="1"/>
  <c r="E17" i="4"/>
  <c r="D17" i="4"/>
  <c r="C19" i="10" s="1"/>
  <c r="C17" i="4"/>
  <c r="B17" i="4"/>
  <c r="B19" i="10" s="1"/>
  <c r="A17" i="4"/>
  <c r="A19" i="10" s="1"/>
  <c r="M16" i="4"/>
  <c r="F18" i="10" s="1"/>
  <c r="K16" i="4"/>
  <c r="J16" i="4"/>
  <c r="I16" i="4"/>
  <c r="H16" i="4"/>
  <c r="G16" i="4"/>
  <c r="E18" i="10" s="1"/>
  <c r="F16" i="4"/>
  <c r="E16" i="4"/>
  <c r="L16" i="4" s="1"/>
  <c r="D16" i="4"/>
  <c r="C18" i="10" s="1"/>
  <c r="C16" i="4"/>
  <c r="B16" i="4"/>
  <c r="B18" i="10" s="1"/>
  <c r="A16" i="4"/>
  <c r="A18" i="10" s="1"/>
  <c r="L15" i="4"/>
  <c r="K15" i="4"/>
  <c r="J15" i="4"/>
  <c r="I15" i="4"/>
  <c r="H15" i="4"/>
  <c r="G15" i="4"/>
  <c r="F15" i="4"/>
  <c r="D17" i="10" s="1"/>
  <c r="E15" i="4"/>
  <c r="D15" i="4"/>
  <c r="C17" i="10" s="1"/>
  <c r="C15" i="4"/>
  <c r="B15" i="4"/>
  <c r="B17" i="10" s="1"/>
  <c r="A15" i="4"/>
  <c r="A17" i="10" s="1"/>
  <c r="M14" i="4"/>
  <c r="F16" i="10" s="1"/>
  <c r="K14" i="4"/>
  <c r="J14" i="4"/>
  <c r="I14" i="4"/>
  <c r="H14" i="4"/>
  <c r="G14" i="4"/>
  <c r="E16" i="10" s="1"/>
  <c r="F14" i="4"/>
  <c r="E14" i="4"/>
  <c r="D14" i="4"/>
  <c r="C16" i="10" s="1"/>
  <c r="C14" i="4"/>
  <c r="B14" i="4"/>
  <c r="B16" i="10" s="1"/>
  <c r="A14" i="4"/>
  <c r="A16" i="10" s="1"/>
  <c r="L13" i="4"/>
  <c r="K13" i="4"/>
  <c r="P13" i="4" s="1"/>
  <c r="J13" i="4"/>
  <c r="I13" i="4"/>
  <c r="N13" i="4" s="1"/>
  <c r="H13" i="4"/>
  <c r="O13" i="4" s="1"/>
  <c r="G15" i="10" s="1"/>
  <c r="G13" i="4"/>
  <c r="E15" i="10" s="1"/>
  <c r="F13" i="4"/>
  <c r="E13" i="4"/>
  <c r="D13" i="4"/>
  <c r="C15" i="10" s="1"/>
  <c r="C13" i="4"/>
  <c r="B13" i="4"/>
  <c r="B15" i="10" s="1"/>
  <c r="A13" i="4"/>
  <c r="A15" i="10" s="1"/>
  <c r="N12" i="4"/>
  <c r="L12" i="4"/>
  <c r="K12" i="4"/>
  <c r="P12" i="4" s="1"/>
  <c r="J12" i="4"/>
  <c r="I12" i="4"/>
  <c r="H12" i="4"/>
  <c r="G12" i="4"/>
  <c r="F12" i="4"/>
  <c r="D14" i="10" s="1"/>
  <c r="E12" i="4"/>
  <c r="D12" i="4"/>
  <c r="C14" i="10" s="1"/>
  <c r="C12" i="4"/>
  <c r="B12" i="4"/>
  <c r="B14" i="10" s="1"/>
  <c r="A12" i="4"/>
  <c r="A14" i="10" s="1"/>
  <c r="M11" i="4"/>
  <c r="F13" i="10" s="1"/>
  <c r="L11" i="4"/>
  <c r="K11" i="4"/>
  <c r="J11" i="4"/>
  <c r="I11" i="4"/>
  <c r="H11" i="4"/>
  <c r="P11" i="4" s="1"/>
  <c r="G11" i="4"/>
  <c r="E13" i="10" s="1"/>
  <c r="F11" i="4"/>
  <c r="D13" i="10" s="1"/>
  <c r="E11" i="4"/>
  <c r="D11" i="4"/>
  <c r="C13" i="10" s="1"/>
  <c r="C11" i="4"/>
  <c r="B11" i="4"/>
  <c r="B13" i="10" s="1"/>
  <c r="A11" i="4"/>
  <c r="A13" i="10" s="1"/>
  <c r="N10" i="4"/>
  <c r="O10" i="4" s="1"/>
  <c r="G12" i="10" s="1"/>
  <c r="K10" i="4"/>
  <c r="P10" i="4" s="1"/>
  <c r="J10" i="4"/>
  <c r="I10" i="4"/>
  <c r="H10" i="4"/>
  <c r="G10" i="4"/>
  <c r="E12" i="10" s="1"/>
  <c r="F10" i="4"/>
  <c r="E10" i="4"/>
  <c r="D10" i="4"/>
  <c r="C12" i="10" s="1"/>
  <c r="C10" i="4"/>
  <c r="B10" i="4"/>
  <c r="B12" i="10" s="1"/>
  <c r="A10" i="4"/>
  <c r="A12" i="10" s="1"/>
  <c r="L9" i="4"/>
  <c r="K9" i="4"/>
  <c r="M9" i="4" s="1"/>
  <c r="J9" i="4"/>
  <c r="I9" i="4"/>
  <c r="H9" i="4"/>
  <c r="G9" i="4"/>
  <c r="F9" i="4"/>
  <c r="D11" i="10" s="1"/>
  <c r="E9" i="4"/>
  <c r="D9" i="4"/>
  <c r="C11" i="10" s="1"/>
  <c r="C9" i="4"/>
  <c r="B9" i="4"/>
  <c r="B11" i="10" s="1"/>
  <c r="A9" i="4"/>
  <c r="A11" i="10" s="1"/>
  <c r="K8" i="4"/>
  <c r="M8" i="4" s="1"/>
  <c r="J8" i="4"/>
  <c r="I8" i="4"/>
  <c r="H8" i="4"/>
  <c r="N8" i="4" s="1"/>
  <c r="O8" i="4" s="1"/>
  <c r="G10" i="10" s="1"/>
  <c r="G8" i="4"/>
  <c r="E10" i="10" s="1"/>
  <c r="F8" i="4"/>
  <c r="E8" i="4"/>
  <c r="L8" i="4" s="1"/>
  <c r="D8" i="4"/>
  <c r="C10" i="10" s="1"/>
  <c r="C8" i="4"/>
  <c r="B8" i="4"/>
  <c r="B10" i="10" s="1"/>
  <c r="A8" i="4"/>
  <c r="A10" i="10" s="1"/>
  <c r="L7" i="4"/>
  <c r="K7" i="4"/>
  <c r="P7" i="4" s="1"/>
  <c r="J7" i="4"/>
  <c r="I7" i="4"/>
  <c r="H7" i="4"/>
  <c r="G7" i="4"/>
  <c r="F7" i="4"/>
  <c r="D9" i="10" s="1"/>
  <c r="E7" i="4"/>
  <c r="D7" i="4"/>
  <c r="C9" i="10" s="1"/>
  <c r="C7" i="4"/>
  <c r="B7" i="4"/>
  <c r="B9" i="10" s="1"/>
  <c r="A7" i="4"/>
  <c r="A9" i="10" s="1"/>
  <c r="M6" i="4"/>
  <c r="F8" i="10" s="1"/>
  <c r="L6" i="4"/>
  <c r="K6" i="4"/>
  <c r="J6" i="4"/>
  <c r="I6" i="4"/>
  <c r="H6" i="4"/>
  <c r="N6" i="4" s="1"/>
  <c r="O6" i="4" s="1"/>
  <c r="G6" i="4"/>
  <c r="E8" i="10" s="1"/>
  <c r="F6" i="4"/>
  <c r="E6" i="4"/>
  <c r="D6" i="4"/>
  <c r="C8" i="10" s="1"/>
  <c r="C6" i="4"/>
  <c r="B6" i="4"/>
  <c r="B8" i="10" s="1"/>
  <c r="A6" i="4"/>
  <c r="A8" i="10" s="1"/>
  <c r="N5" i="4"/>
  <c r="L5" i="4"/>
  <c r="K5" i="4"/>
  <c r="J5" i="4"/>
  <c r="I5" i="4"/>
  <c r="H5" i="4"/>
  <c r="O5" i="4" s="1"/>
  <c r="G7" i="10" s="1"/>
  <c r="G5" i="4"/>
  <c r="E7" i="10" s="1"/>
  <c r="F5" i="4"/>
  <c r="E5" i="4"/>
  <c r="D5" i="4"/>
  <c r="C7" i="10" s="1"/>
  <c r="C5" i="4"/>
  <c r="B5" i="4"/>
  <c r="B7" i="10" s="1"/>
  <c r="A5" i="4"/>
  <c r="A7" i="10" s="1"/>
  <c r="N4" i="4"/>
  <c r="M4" i="4"/>
  <c r="F6" i="10" s="1"/>
  <c r="L4" i="4"/>
  <c r="K4" i="4"/>
  <c r="P4" i="4" s="1"/>
  <c r="J4" i="4"/>
  <c r="I4" i="4"/>
  <c r="H4" i="4"/>
  <c r="G4" i="4"/>
  <c r="F4" i="4"/>
  <c r="D6" i="10" s="1"/>
  <c r="E4" i="4"/>
  <c r="D4" i="4"/>
  <c r="C6" i="10" s="1"/>
  <c r="C4" i="4"/>
  <c r="B4" i="4"/>
  <c r="B6" i="10" s="1"/>
  <c r="A4" i="4"/>
  <c r="A6" i="10" s="1"/>
  <c r="P3" i="4"/>
  <c r="N3" i="4"/>
  <c r="O3" i="4" s="1"/>
  <c r="G5" i="10" s="1"/>
  <c r="M3" i="4"/>
  <c r="F5" i="10" s="1"/>
  <c r="L3" i="4"/>
  <c r="K3" i="4"/>
  <c r="J3" i="4"/>
  <c r="I3" i="4"/>
  <c r="H3" i="4"/>
  <c r="G3" i="4"/>
  <c r="E5" i="10" s="1"/>
  <c r="F3" i="4"/>
  <c r="D5" i="10" s="1"/>
  <c r="E3" i="4"/>
  <c r="D3" i="4"/>
  <c r="C5" i="10" s="1"/>
  <c r="C3" i="4"/>
  <c r="B3" i="4"/>
  <c r="B5" i="10" s="1"/>
  <c r="A3" i="4"/>
  <c r="A5" i="10" s="1"/>
  <c r="P2" i="4"/>
  <c r="O2" i="4"/>
  <c r="G4" i="10" s="1"/>
  <c r="N2" i="4"/>
  <c r="K2" i="4"/>
  <c r="J2" i="4"/>
  <c r="I2" i="4"/>
  <c r="H2" i="4"/>
  <c r="G2" i="4"/>
  <c r="E4" i="10" s="1"/>
  <c r="F2" i="4"/>
  <c r="E2" i="4"/>
  <c r="D2" i="4"/>
  <c r="C2" i="4"/>
  <c r="B2" i="4"/>
  <c r="A2" i="4"/>
  <c r="F26" i="10" l="1"/>
  <c r="R24" i="4"/>
  <c r="F11" i="10"/>
  <c r="R9" i="4"/>
  <c r="G68" i="10"/>
  <c r="Q66" i="4"/>
  <c r="H68" i="10" s="1"/>
  <c r="F19" i="10"/>
  <c r="R17" i="4"/>
  <c r="F58" i="10"/>
  <c r="R56" i="4"/>
  <c r="G8" i="10"/>
  <c r="Q6" i="4"/>
  <c r="H8" i="10" s="1"/>
  <c r="Q5" i="4"/>
  <c r="H7" i="10" s="1"/>
  <c r="F10" i="10"/>
  <c r="R8" i="4"/>
  <c r="Q61" i="4"/>
  <c r="H63" i="10" s="1"/>
  <c r="M18" i="4"/>
  <c r="D20" i="10"/>
  <c r="P39" i="4"/>
  <c r="P43" i="4"/>
  <c r="P44" i="4"/>
  <c r="O45" i="4"/>
  <c r="N46" i="4"/>
  <c r="O46" i="4" s="1"/>
  <c r="M47" i="4"/>
  <c r="N48" i="4"/>
  <c r="O48" i="4" s="1"/>
  <c r="P49" i="4"/>
  <c r="P50" i="4"/>
  <c r="N51" i="4"/>
  <c r="M52" i="4"/>
  <c r="L54" i="4"/>
  <c r="L57" i="4"/>
  <c r="N58" i="4"/>
  <c r="Q67" i="4"/>
  <c r="H69" i="10" s="1"/>
  <c r="D16" i="10"/>
  <c r="P14" i="4"/>
  <c r="Q3" i="4"/>
  <c r="H5" i="10" s="1"/>
  <c r="P16" i="4"/>
  <c r="D18" i="10"/>
  <c r="E19" i="10"/>
  <c r="N17" i="4"/>
  <c r="O17" i="4" s="1"/>
  <c r="L26" i="4"/>
  <c r="P45" i="4"/>
  <c r="O51" i="4"/>
  <c r="G53" i="10" s="1"/>
  <c r="M54" i="4"/>
  <c r="M57" i="4"/>
  <c r="O58" i="4"/>
  <c r="E25" i="10"/>
  <c r="N23" i="4"/>
  <c r="O23" i="4" s="1"/>
  <c r="F31" i="10"/>
  <c r="R29" i="4"/>
  <c r="R3" i="4"/>
  <c r="P5" i="4"/>
  <c r="Q10" i="4"/>
  <c r="H12" i="10" s="1"/>
  <c r="E9" i="10"/>
  <c r="N7" i="4"/>
  <c r="O7" i="4" s="1"/>
  <c r="G9" i="10" s="1"/>
  <c r="O12" i="4"/>
  <c r="G14" i="10" s="1"/>
  <c r="E14" i="10"/>
  <c r="M13" i="4"/>
  <c r="E17" i="10"/>
  <c r="N15" i="4"/>
  <c r="E22" i="10"/>
  <c r="M21" i="4"/>
  <c r="D24" i="10"/>
  <c r="P22" i="4"/>
  <c r="L24" i="4"/>
  <c r="M26" i="4"/>
  <c r="D28" i="10"/>
  <c r="P47" i="4"/>
  <c r="P51" i="4"/>
  <c r="P52" i="4"/>
  <c r="N54" i="4"/>
  <c r="O54" i="4" s="1"/>
  <c r="G56" i="10" s="1"/>
  <c r="M55" i="4"/>
  <c r="P57" i="4"/>
  <c r="Q69" i="4"/>
  <c r="H71" i="10" s="1"/>
  <c r="R72" i="4"/>
  <c r="E30" i="10"/>
  <c r="D32" i="10"/>
  <c r="P30" i="4"/>
  <c r="M34" i="4"/>
  <c r="D36" i="10"/>
  <c r="Q53" i="4"/>
  <c r="H55" i="10" s="1"/>
  <c r="P55" i="4"/>
  <c r="P32" i="4"/>
  <c r="D34" i="10"/>
  <c r="E35" i="10"/>
  <c r="O33" i="4"/>
  <c r="G35" i="10" s="1"/>
  <c r="N33" i="4"/>
  <c r="M7" i="4"/>
  <c r="P9" i="4"/>
  <c r="N11" i="4"/>
  <c r="O11" i="4" s="1"/>
  <c r="G13" i="10" s="1"/>
  <c r="M12" i="4"/>
  <c r="L14" i="4"/>
  <c r="L17" i="4"/>
  <c r="N18" i="4"/>
  <c r="O18" i="4" s="1"/>
  <c r="G20" i="10" s="1"/>
  <c r="E33" i="10"/>
  <c r="N31" i="4"/>
  <c r="E38" i="10"/>
  <c r="F39" i="10"/>
  <c r="R37" i="4"/>
  <c r="D40" i="10"/>
  <c r="P38" i="4"/>
  <c r="L40" i="4"/>
  <c r="M42" i="4"/>
  <c r="D44" i="10"/>
  <c r="R60" i="4"/>
  <c r="R67" i="4"/>
  <c r="P69" i="4"/>
  <c r="R70" i="4"/>
  <c r="R62" i="4"/>
  <c r="B3" i="5"/>
  <c r="D3" i="9" s="1"/>
  <c r="A4" i="10"/>
  <c r="M15" i="4"/>
  <c r="C3" i="6" s="1"/>
  <c r="E41" i="10"/>
  <c r="N39" i="4"/>
  <c r="F47" i="10"/>
  <c r="R45" i="4"/>
  <c r="M50" i="4"/>
  <c r="D52" i="10"/>
  <c r="Q7" i="4"/>
  <c r="H9" i="10" s="1"/>
  <c r="N21" i="4"/>
  <c r="O21" i="4" s="1"/>
  <c r="E51" i="10"/>
  <c r="N49" i="4"/>
  <c r="O49" i="4" s="1"/>
  <c r="D75" i="10"/>
  <c r="M73" i="4"/>
  <c r="B4" i="6"/>
  <c r="B7" i="6"/>
  <c r="B4" i="10"/>
  <c r="P18" i="4"/>
  <c r="E46" i="10"/>
  <c r="D48" i="10"/>
  <c r="P46" i="4"/>
  <c r="C4" i="10"/>
  <c r="Q13" i="4"/>
  <c r="H15" i="10" s="1"/>
  <c r="P15" i="4"/>
  <c r="R16" i="4"/>
  <c r="P19" i="4"/>
  <c r="P20" i="4"/>
  <c r="N22" i="4"/>
  <c r="O22" i="4" s="1"/>
  <c r="M23" i="4"/>
  <c r="N24" i="4"/>
  <c r="O24" i="4" s="1"/>
  <c r="P25" i="4"/>
  <c r="P26" i="4"/>
  <c r="N27" i="4"/>
  <c r="M28" i="4"/>
  <c r="L30" i="4"/>
  <c r="L33" i="4"/>
  <c r="N34" i="4"/>
  <c r="O34" i="4" s="1"/>
  <c r="E49" i="10"/>
  <c r="N47" i="4"/>
  <c r="O47" i="4" s="1"/>
  <c r="O52" i="4"/>
  <c r="E54" i="10"/>
  <c r="F55" i="10"/>
  <c r="R53" i="4"/>
  <c r="D56" i="10"/>
  <c r="P54" i="4"/>
  <c r="M58" i="4"/>
  <c r="D60" i="10"/>
  <c r="E75" i="10"/>
  <c r="N73" i="4"/>
  <c r="O73" i="4" s="1"/>
  <c r="E27" i="10"/>
  <c r="O25" i="4"/>
  <c r="G27" i="10" s="1"/>
  <c r="N25" i="4"/>
  <c r="L2" i="4"/>
  <c r="R14" i="4"/>
  <c r="Q15" i="4"/>
  <c r="H17" i="10" s="1"/>
  <c r="R19" i="4"/>
  <c r="P21" i="4"/>
  <c r="O27" i="4"/>
  <c r="G29" i="10" s="1"/>
  <c r="N28" i="4"/>
  <c r="O28" i="4" s="1"/>
  <c r="N29" i="4"/>
  <c r="O29" i="4" s="1"/>
  <c r="M30" i="4"/>
  <c r="M32" i="4"/>
  <c r="M33" i="4"/>
  <c r="M35" i="4"/>
  <c r="Q56" i="4"/>
  <c r="H58" i="10" s="1"/>
  <c r="P56" i="4"/>
  <c r="D58" i="10"/>
  <c r="E59" i="10"/>
  <c r="O57" i="4"/>
  <c r="N57" i="4"/>
  <c r="L64" i="4"/>
  <c r="M66" i="4"/>
  <c r="D68" i="10"/>
  <c r="P72" i="4"/>
  <c r="D74" i="10"/>
  <c r="Q2" i="4"/>
  <c r="P40" i="4"/>
  <c r="D42" i="10"/>
  <c r="E43" i="10"/>
  <c r="O41" i="4"/>
  <c r="G43" i="10" s="1"/>
  <c r="N41" i="4"/>
  <c r="R4" i="4"/>
  <c r="N14" i="4"/>
  <c r="N16" i="4"/>
  <c r="O16" i="4" s="1"/>
  <c r="P17" i="4"/>
  <c r="N19" i="4"/>
  <c r="O19" i="4" s="1"/>
  <c r="M20" i="4"/>
  <c r="L22" i="4"/>
  <c r="B3" i="6" s="1"/>
  <c r="L25" i="4"/>
  <c r="N26" i="4"/>
  <c r="O26" i="4" s="1"/>
  <c r="R11" i="4"/>
  <c r="Q12" i="4"/>
  <c r="H14" i="10" s="1"/>
  <c r="O14" i="4"/>
  <c r="G16" i="10" s="1"/>
  <c r="O15" i="4"/>
  <c r="G17" i="10" s="1"/>
  <c r="Q18" i="4"/>
  <c r="H20" i="10" s="1"/>
  <c r="N20" i="4"/>
  <c r="O20" i="4" s="1"/>
  <c r="M22" i="4"/>
  <c r="M25" i="4"/>
  <c r="M27" i="4"/>
  <c r="P23" i="4"/>
  <c r="P27" i="4"/>
  <c r="P28" i="4"/>
  <c r="N30" i="4"/>
  <c r="M31" i="4"/>
  <c r="N32" i="4"/>
  <c r="O32" i="4" s="1"/>
  <c r="P33" i="4"/>
  <c r="P34" i="4"/>
  <c r="N35" i="4"/>
  <c r="O35" i="4" s="1"/>
  <c r="M36" i="4"/>
  <c r="L38" i="4"/>
  <c r="B5" i="6" s="1"/>
  <c r="L41" i="4"/>
  <c r="N42" i="4"/>
  <c r="E57" i="10"/>
  <c r="N55" i="4"/>
  <c r="O55" i="4" s="1"/>
  <c r="O60" i="4"/>
  <c r="E62" i="10"/>
  <c r="M61" i="4"/>
  <c r="D64" i="10"/>
  <c r="P62" i="4"/>
  <c r="Q64" i="4"/>
  <c r="H66" i="10" s="1"/>
  <c r="P64" i="4"/>
  <c r="D66" i="10"/>
  <c r="E67" i="10"/>
  <c r="O65" i="4"/>
  <c r="N65" i="4"/>
  <c r="D72" i="10"/>
  <c r="P70" i="4"/>
  <c r="D73" i="10"/>
  <c r="M71" i="4"/>
  <c r="G3" i="6"/>
  <c r="P24" i="4"/>
  <c r="D26" i="10"/>
  <c r="P48" i="4"/>
  <c r="D50" i="10"/>
  <c r="M2" i="4"/>
  <c r="D4" i="10"/>
  <c r="L10" i="4"/>
  <c r="G4" i="6" s="1"/>
  <c r="P29" i="4"/>
  <c r="O30" i="4"/>
  <c r="G32" i="10" s="1"/>
  <c r="O31" i="4"/>
  <c r="G33" i="10" s="1"/>
  <c r="Q33" i="4"/>
  <c r="H35" i="10" s="1"/>
  <c r="N36" i="4"/>
  <c r="O36" i="4" s="1"/>
  <c r="N37" i="4"/>
  <c r="O37" i="4" s="1"/>
  <c r="M38" i="4"/>
  <c r="C5" i="6" s="1"/>
  <c r="M40" i="4"/>
  <c r="M41" i="4"/>
  <c r="O42" i="4"/>
  <c r="G44" i="10" s="1"/>
  <c r="M43" i="4"/>
  <c r="Q51" i="4"/>
  <c r="H53" i="10" s="1"/>
  <c r="D65" i="10"/>
  <c r="M63" i="4"/>
  <c r="C7" i="6" s="1"/>
  <c r="O68" i="4"/>
  <c r="G70" i="10" s="1"/>
  <c r="E70" i="10"/>
  <c r="M69" i="4"/>
  <c r="E72" i="10"/>
  <c r="O70" i="4"/>
  <c r="E73" i="10"/>
  <c r="N71" i="4"/>
  <c r="O71" i="4" s="1"/>
  <c r="O72" i="4"/>
  <c r="G74" i="10" s="1"/>
  <c r="R6" i="4"/>
  <c r="M10" i="4"/>
  <c r="D12" i="10"/>
  <c r="Q30" i="4"/>
  <c r="H32" i="10" s="1"/>
  <c r="P31" i="4"/>
  <c r="P35" i="4"/>
  <c r="P36" i="4"/>
  <c r="N38" i="4"/>
  <c r="O38" i="4" s="1"/>
  <c r="M39" i="4"/>
  <c r="N40" i="4"/>
  <c r="O40" i="4" s="1"/>
  <c r="P41" i="4"/>
  <c r="P42" i="4"/>
  <c r="N43" i="4"/>
  <c r="M44" i="4"/>
  <c r="L46" i="4"/>
  <c r="L49" i="4"/>
  <c r="N50" i="4"/>
  <c r="O50" i="4" s="1"/>
  <c r="E65" i="10"/>
  <c r="N63" i="4"/>
  <c r="O63" i="4" s="1"/>
  <c r="G65" i="10" s="1"/>
  <c r="L50" i="4"/>
  <c r="B6" i="6" s="1"/>
  <c r="O4" i="4"/>
  <c r="E6" i="10"/>
  <c r="M5" i="4"/>
  <c r="D8" i="10"/>
  <c r="P6" i="4"/>
  <c r="Q8" i="4"/>
  <c r="H10" i="10" s="1"/>
  <c r="P8" i="4"/>
  <c r="D10" i="10"/>
  <c r="E11" i="10"/>
  <c r="O9" i="4"/>
  <c r="G11" i="10" s="1"/>
  <c r="N9" i="4"/>
  <c r="L18" i="4"/>
  <c r="Q31" i="4"/>
  <c r="H33" i="10" s="1"/>
  <c r="O39" i="4"/>
  <c r="G41" i="10" s="1"/>
  <c r="Q41" i="4"/>
  <c r="H43" i="10" s="1"/>
  <c r="O43" i="4"/>
  <c r="G45" i="10" s="1"/>
  <c r="N44" i="4"/>
  <c r="O44" i="4" s="1"/>
  <c r="M46" i="4"/>
  <c r="M48" i="4"/>
  <c r="M49" i="4"/>
  <c r="M51" i="4"/>
  <c r="Q59" i="4"/>
  <c r="H61" i="10" s="1"/>
  <c r="L73" i="4"/>
  <c r="D7" i="10"/>
  <c r="D15" i="10"/>
  <c r="D23" i="10"/>
  <c r="D31" i="10"/>
  <c r="D39" i="10"/>
  <c r="D47" i="10"/>
  <c r="D55" i="10"/>
  <c r="D63" i="10"/>
  <c r="D71" i="10"/>
  <c r="C16" i="9" l="1"/>
  <c r="C12" i="8"/>
  <c r="G25" i="10"/>
  <c r="Q23" i="4"/>
  <c r="H25" i="10" s="1"/>
  <c r="G26" i="10"/>
  <c r="Q24" i="4"/>
  <c r="H26" i="10" s="1"/>
  <c r="G39" i="10"/>
  <c r="Q37" i="4"/>
  <c r="H39" i="10" s="1"/>
  <c r="G52" i="10"/>
  <c r="G6" i="7"/>
  <c r="Q50" i="4"/>
  <c r="B16" i="9"/>
  <c r="B12" i="8"/>
  <c r="G22" i="10"/>
  <c r="Q20" i="4"/>
  <c r="H22" i="10" s="1"/>
  <c r="H13" i="8"/>
  <c r="G17" i="9"/>
  <c r="G51" i="10"/>
  <c r="Q49" i="4"/>
  <c r="H51" i="10" s="1"/>
  <c r="G30" i="10"/>
  <c r="Q28" i="4"/>
  <c r="H30" i="10" s="1"/>
  <c r="G23" i="10"/>
  <c r="Q21" i="4"/>
  <c r="H23" i="10" s="1"/>
  <c r="G34" i="10"/>
  <c r="Q32" i="4"/>
  <c r="H34" i="10" s="1"/>
  <c r="G48" i="10"/>
  <c r="Q46" i="4"/>
  <c r="H48" i="10" s="1"/>
  <c r="G40" i="10"/>
  <c r="Q38" i="4"/>
  <c r="G5" i="7"/>
  <c r="G21" i="10"/>
  <c r="Q19" i="4"/>
  <c r="H21" i="10" s="1"/>
  <c r="C18" i="9"/>
  <c r="C14" i="8"/>
  <c r="C20" i="9"/>
  <c r="C16" i="8"/>
  <c r="G49" i="10"/>
  <c r="Q47" i="4"/>
  <c r="H49" i="10" s="1"/>
  <c r="G36" i="10"/>
  <c r="Q34" i="4"/>
  <c r="H36" i="10" s="1"/>
  <c r="G75" i="10"/>
  <c r="Q73" i="4"/>
  <c r="H75" i="10" s="1"/>
  <c r="G38" i="10"/>
  <c r="Q36" i="4"/>
  <c r="H38" i="10" s="1"/>
  <c r="G31" i="10"/>
  <c r="Q29" i="4"/>
  <c r="H31" i="10" s="1"/>
  <c r="G18" i="10"/>
  <c r="Q16" i="4"/>
  <c r="H18" i="10" s="1"/>
  <c r="B18" i="9"/>
  <c r="B14" i="8"/>
  <c r="G37" i="10"/>
  <c r="Q35" i="4"/>
  <c r="H37" i="10" s="1"/>
  <c r="G24" i="10"/>
  <c r="Q22" i="4"/>
  <c r="H24" i="10" s="1"/>
  <c r="G50" i="10"/>
  <c r="Q48" i="4"/>
  <c r="H50" i="10" s="1"/>
  <c r="G28" i="10"/>
  <c r="G4" i="7"/>
  <c r="Q26" i="4"/>
  <c r="G19" i="10"/>
  <c r="Q17" i="4"/>
  <c r="H19" i="10" s="1"/>
  <c r="G42" i="10"/>
  <c r="Q40" i="4"/>
  <c r="H42" i="10" s="1"/>
  <c r="G46" i="10"/>
  <c r="Q44" i="4"/>
  <c r="H46" i="10" s="1"/>
  <c r="B19" i="9"/>
  <c r="B15" i="8"/>
  <c r="F7" i="10"/>
  <c r="R5" i="4"/>
  <c r="F45" i="10"/>
  <c r="R43" i="4"/>
  <c r="F51" i="10"/>
  <c r="R49" i="4"/>
  <c r="G16" i="9"/>
  <c r="H12" i="8"/>
  <c r="G57" i="10"/>
  <c r="Q55" i="4"/>
  <c r="H57" i="10" s="1"/>
  <c r="Q68" i="4"/>
  <c r="H70" i="10" s="1"/>
  <c r="B20" i="9"/>
  <c r="B16" i="8"/>
  <c r="F14" i="10"/>
  <c r="R12" i="4"/>
  <c r="F24" i="10"/>
  <c r="R22" i="4"/>
  <c r="G72" i="10"/>
  <c r="Q70" i="4"/>
  <c r="H72" i="10" s="1"/>
  <c r="F50" i="10"/>
  <c r="R48" i="4"/>
  <c r="F73" i="10"/>
  <c r="R71" i="4"/>
  <c r="F29" i="10"/>
  <c r="R27" i="4"/>
  <c r="F68" i="10"/>
  <c r="R66" i="4"/>
  <c r="F30" i="10"/>
  <c r="R28" i="4"/>
  <c r="F48" i="10"/>
  <c r="R46" i="4"/>
  <c r="F71" i="10"/>
  <c r="R69" i="4"/>
  <c r="B4" i="5"/>
  <c r="F4" i="10"/>
  <c r="R2" i="4"/>
  <c r="F41" i="10"/>
  <c r="R39" i="4"/>
  <c r="F27" i="10"/>
  <c r="R25" i="4"/>
  <c r="Q25" i="4"/>
  <c r="H27" i="10" s="1"/>
  <c r="F23" i="10"/>
  <c r="R21" i="4"/>
  <c r="F49" i="10"/>
  <c r="R47" i="4"/>
  <c r="Q63" i="4"/>
  <c r="F52" i="10"/>
  <c r="R50" i="4"/>
  <c r="F44" i="10"/>
  <c r="R42" i="4"/>
  <c r="F9" i="10"/>
  <c r="R7" i="4"/>
  <c r="Q42" i="4"/>
  <c r="H44" i="10" s="1"/>
  <c r="F65" i="10"/>
  <c r="R63" i="4"/>
  <c r="F38" i="10"/>
  <c r="R36" i="4"/>
  <c r="F60" i="10"/>
  <c r="R58" i="4"/>
  <c r="G3" i="7"/>
  <c r="G6" i="10"/>
  <c r="Q4" i="4"/>
  <c r="D2" i="6" s="1"/>
  <c r="D11" i="8" s="1"/>
  <c r="G67" i="10"/>
  <c r="Q65" i="4"/>
  <c r="H67" i="10" s="1"/>
  <c r="F25" i="10"/>
  <c r="R23" i="4"/>
  <c r="G2" i="7"/>
  <c r="G47" i="10"/>
  <c r="Q45" i="4"/>
  <c r="H47" i="10" s="1"/>
  <c r="B2" i="6"/>
  <c r="B13" i="8"/>
  <c r="B17" i="9"/>
  <c r="G60" i="10"/>
  <c r="Q58" i="4"/>
  <c r="H60" i="10" s="1"/>
  <c r="C4" i="6"/>
  <c r="F15" i="10"/>
  <c r="R13" i="4"/>
  <c r="F59" i="10"/>
  <c r="R57" i="4"/>
  <c r="F17" i="10"/>
  <c r="R15" i="4"/>
  <c r="F57" i="10"/>
  <c r="R55" i="4"/>
  <c r="F56" i="10"/>
  <c r="R54" i="4"/>
  <c r="F43" i="10"/>
  <c r="R41" i="4"/>
  <c r="F33" i="10"/>
  <c r="R31" i="4"/>
  <c r="F37" i="10"/>
  <c r="R35" i="4"/>
  <c r="F42" i="10"/>
  <c r="R40" i="4"/>
  <c r="H4" i="10"/>
  <c r="B2" i="5"/>
  <c r="G54" i="10"/>
  <c r="Q52" i="4"/>
  <c r="H54" i="10" s="1"/>
  <c r="G2" i="6"/>
  <c r="G59" i="10"/>
  <c r="Q57" i="4"/>
  <c r="H59" i="10" s="1"/>
  <c r="Q43" i="4"/>
  <c r="H45" i="10" s="1"/>
  <c r="F12" i="10"/>
  <c r="R10" i="4"/>
  <c r="F40" i="10"/>
  <c r="R38" i="4"/>
  <c r="F35" i="10"/>
  <c r="R33" i="4"/>
  <c r="Q14" i="4"/>
  <c r="G7" i="7"/>
  <c r="F75" i="10"/>
  <c r="R73" i="4"/>
  <c r="C2" i="6"/>
  <c r="F20" i="10"/>
  <c r="R18" i="4"/>
  <c r="Q54" i="4"/>
  <c r="H56" i="10" s="1"/>
  <c r="C6" i="6"/>
  <c r="Q27" i="4"/>
  <c r="H29" i="10" s="1"/>
  <c r="F53" i="10"/>
  <c r="R51" i="4"/>
  <c r="F32" i="10"/>
  <c r="R30" i="4"/>
  <c r="F63" i="10"/>
  <c r="R61" i="4"/>
  <c r="F34" i="10"/>
  <c r="R32" i="4"/>
  <c r="F46" i="10"/>
  <c r="R44" i="4"/>
  <c r="G73" i="10"/>
  <c r="Q71" i="4"/>
  <c r="H73" i="10" s="1"/>
  <c r="G62" i="10"/>
  <c r="Q60" i="4"/>
  <c r="H62" i="10" s="1"/>
  <c r="F22" i="10"/>
  <c r="R20" i="4"/>
  <c r="Q72" i="4"/>
  <c r="H74" i="10" s="1"/>
  <c r="Q11" i="4"/>
  <c r="F36" i="10"/>
  <c r="R34" i="4"/>
  <c r="F28" i="10"/>
  <c r="R26" i="4"/>
  <c r="Q9" i="4"/>
  <c r="H11" i="10" s="1"/>
  <c r="Q39" i="4"/>
  <c r="H41" i="10" s="1"/>
  <c r="F54" i="10"/>
  <c r="R52" i="4"/>
  <c r="D21" i="8" l="1"/>
  <c r="H3" i="7"/>
  <c r="E21" i="8" s="1"/>
  <c r="H5" i="7"/>
  <c r="E23" i="8" s="1"/>
  <c r="D23" i="8"/>
  <c r="H3" i="6"/>
  <c r="H2" i="6"/>
  <c r="H28" i="10"/>
  <c r="E4" i="7"/>
  <c r="D4" i="6"/>
  <c r="D13" i="8" s="1"/>
  <c r="D22" i="8"/>
  <c r="H4" i="7"/>
  <c r="E22" i="8" s="1"/>
  <c r="H52" i="10"/>
  <c r="D6" i="6"/>
  <c r="D15" i="8" s="1"/>
  <c r="E6" i="7"/>
  <c r="D24" i="8"/>
  <c r="H6" i="7"/>
  <c r="E24" i="8" s="1"/>
  <c r="B6" i="5"/>
  <c r="D8" i="9" s="1"/>
  <c r="G6" i="8"/>
  <c r="A8" i="9"/>
  <c r="H13" i="10"/>
  <c r="H4" i="6"/>
  <c r="C19" i="9"/>
  <c r="C15" i="8"/>
  <c r="C11" i="8"/>
  <c r="C15" i="9"/>
  <c r="D20" i="8"/>
  <c r="H2" i="7"/>
  <c r="E20" i="8" s="1"/>
  <c r="A3" i="9"/>
  <c r="A6" i="8"/>
  <c r="D25" i="8"/>
  <c r="H7" i="7"/>
  <c r="E25" i="8" s="1"/>
  <c r="B5" i="5"/>
  <c r="H40" i="10"/>
  <c r="D5" i="6"/>
  <c r="D14" i="8" s="1"/>
  <c r="E5" i="7"/>
  <c r="C13" i="8"/>
  <c r="C17" i="9"/>
  <c r="B11" i="8"/>
  <c r="B15" i="9"/>
  <c r="B7" i="5"/>
  <c r="G8" i="9" s="1"/>
  <c r="H11" i="8"/>
  <c r="G15" i="9"/>
  <c r="B8" i="5"/>
  <c r="H16" i="10"/>
  <c r="D3" i="6"/>
  <c r="D12" i="8" s="1"/>
  <c r="E3" i="7"/>
  <c r="H6" i="10"/>
  <c r="E2" i="7"/>
  <c r="H65" i="10"/>
  <c r="E7" i="7"/>
  <c r="D7" i="6"/>
  <c r="D16" i="8" s="1"/>
  <c r="B20" i="8" l="1"/>
  <c r="F2" i="7"/>
  <c r="D6" i="8"/>
  <c r="G3" i="9"/>
  <c r="B21" i="8"/>
  <c r="F3" i="7"/>
  <c r="F6" i="7"/>
  <c r="B24" i="8"/>
  <c r="B22" i="8"/>
  <c r="F4" i="7"/>
  <c r="H15" i="9"/>
  <c r="I11" i="8"/>
  <c r="I13" i="8"/>
  <c r="H17" i="9"/>
  <c r="I12" i="8"/>
  <c r="H16" i="9"/>
  <c r="B23" i="8"/>
  <c r="F5" i="7"/>
  <c r="B25" i="8"/>
  <c r="F7" i="7"/>
  <c r="C22" i="8" l="1"/>
  <c r="I4" i="7"/>
  <c r="F22" i="8" s="1"/>
  <c r="C24" i="8"/>
  <c r="I6" i="7"/>
  <c r="F24" i="8" s="1"/>
  <c r="C21" i="8"/>
  <c r="I3" i="7"/>
  <c r="F21" i="8" s="1"/>
  <c r="C25" i="8"/>
  <c r="I7" i="7"/>
  <c r="F25" i="8" s="1"/>
  <c r="C23" i="8"/>
  <c r="I5" i="7"/>
  <c r="F23" i="8" s="1"/>
  <c r="C20" i="8"/>
  <c r="I2" i="7"/>
  <c r="F20" i="8" s="1"/>
</calcChain>
</file>

<file path=xl/sharedStrings.xml><?xml version="1.0" encoding="utf-8"?>
<sst xmlns="http://schemas.openxmlformats.org/spreadsheetml/2006/main" count="1612" uniqueCount="190">
  <si>
    <t>SKU</t>
  </si>
  <si>
    <t>Category</t>
  </si>
  <si>
    <t>Supplier</t>
  </si>
  <si>
    <t>Warehouse</t>
  </si>
  <si>
    <t>Unit_Cost</t>
  </si>
  <si>
    <t>Current_Stock</t>
  </si>
  <si>
    <t>Weekly_Demand</t>
  </si>
  <si>
    <t>Lead_Time_Days</t>
  </si>
  <si>
    <t>Service_Factor</t>
  </si>
  <si>
    <t>Order_Batch_Qty</t>
  </si>
  <si>
    <t>On_Order_Qty</t>
  </si>
  <si>
    <t>Last_Receipt_Date</t>
  </si>
  <si>
    <t>LAP-BIR-100</t>
  </si>
  <si>
    <t>Laptops</t>
  </si>
  <si>
    <t>TechSupply Co</t>
  </si>
  <si>
    <t>Birmingham DC</t>
  </si>
  <si>
    <t>LAP-BIR-101</t>
  </si>
  <si>
    <t>LAP-BIR-102</t>
  </si>
  <si>
    <t>LAP-BIR-103</t>
  </si>
  <si>
    <t>LAP-MAN-104</t>
  </si>
  <si>
    <t>Manchester Hub</t>
  </si>
  <si>
    <t>LAP-MAN-105</t>
  </si>
  <si>
    <t>LAP-MAN-106</t>
  </si>
  <si>
    <t>LAP-MAN-107</t>
  </si>
  <si>
    <t>LAP-LON-108</t>
  </si>
  <si>
    <t>London Central</t>
  </si>
  <si>
    <t>LAP-LON-109</t>
  </si>
  <si>
    <t>LAP-LON-110</t>
  </si>
  <si>
    <t>LAP-LON-111</t>
  </si>
  <si>
    <t>TAB-BIR-112</t>
  </si>
  <si>
    <t>Tablets</t>
  </si>
  <si>
    <t>DigitalSource Ltd</t>
  </si>
  <si>
    <t>TAB-BIR-113</t>
  </si>
  <si>
    <t>TAB-BIR-114</t>
  </si>
  <si>
    <t>TAB-BIR-115</t>
  </si>
  <si>
    <t>TAB-MAN-116</t>
  </si>
  <si>
    <t>TAB-MAN-117</t>
  </si>
  <si>
    <t>TAB-MAN-118</t>
  </si>
  <si>
    <t>TAB-MAN-119</t>
  </si>
  <si>
    <t>TAB-LON-120</t>
  </si>
  <si>
    <t>TAB-LON-121</t>
  </si>
  <si>
    <t>TAB-LON-122</t>
  </si>
  <si>
    <t>TAB-LON-123</t>
  </si>
  <si>
    <t>PHO-BIR-124</t>
  </si>
  <si>
    <t>Phones</t>
  </si>
  <si>
    <t>MobileWorks Plc</t>
  </si>
  <si>
    <t>PHO-BIR-125</t>
  </si>
  <si>
    <t>PHO-BIR-126</t>
  </si>
  <si>
    <t>PHO-BIR-127</t>
  </si>
  <si>
    <t>PHO-MAN-128</t>
  </si>
  <si>
    <t>PHO-MAN-129</t>
  </si>
  <si>
    <t>PHO-MAN-130</t>
  </si>
  <si>
    <t>PHO-MAN-131</t>
  </si>
  <si>
    <t>PHO-LON-132</t>
  </si>
  <si>
    <t>PHO-LON-133</t>
  </si>
  <si>
    <t>PHO-LON-134</t>
  </si>
  <si>
    <t>PHO-LON-135</t>
  </si>
  <si>
    <t>ACC-BIR-136</t>
  </si>
  <si>
    <t>Accessories</t>
  </si>
  <si>
    <t>OfficePlus Group</t>
  </si>
  <si>
    <t>ACC-BIR-137</t>
  </si>
  <si>
    <t>ACC-BIR-138</t>
  </si>
  <si>
    <t>ACC-BIR-139</t>
  </si>
  <si>
    <t>ACC-MAN-140</t>
  </si>
  <si>
    <t>ACC-MAN-141</t>
  </si>
  <si>
    <t>ACC-MAN-142</t>
  </si>
  <si>
    <t>ACC-MAN-143</t>
  </si>
  <si>
    <t>ACC-LON-144</t>
  </si>
  <si>
    <t>ACC-LON-145</t>
  </si>
  <si>
    <t>ACC-LON-146</t>
  </si>
  <si>
    <t>ACC-LON-147</t>
  </si>
  <si>
    <t>MON-BIR-148</t>
  </si>
  <si>
    <t>Monitors</t>
  </si>
  <si>
    <t>DisplayHub Ltd</t>
  </si>
  <si>
    <t>MON-BIR-149</t>
  </si>
  <si>
    <t>MON-BIR-150</t>
  </si>
  <si>
    <t>MON-BIR-151</t>
  </si>
  <si>
    <t>MON-MAN-152</t>
  </si>
  <si>
    <t>MON-MAN-153</t>
  </si>
  <si>
    <t>MON-MAN-154</t>
  </si>
  <si>
    <t>MON-MAN-155</t>
  </si>
  <si>
    <t>MON-LON-156</t>
  </si>
  <si>
    <t>MON-LON-157</t>
  </si>
  <si>
    <t>MON-LON-158</t>
  </si>
  <si>
    <t>MON-LON-159</t>
  </si>
  <si>
    <t>PRI-BIR-160</t>
  </si>
  <si>
    <t>Printers</t>
  </si>
  <si>
    <t>PrintLogix</t>
  </si>
  <si>
    <t>PRI-BIR-161</t>
  </si>
  <si>
    <t>PRI-BIR-162</t>
  </si>
  <si>
    <t>PRI-BIR-163</t>
  </si>
  <si>
    <t>PRI-MAN-164</t>
  </si>
  <si>
    <t>PRI-MAN-165</t>
  </si>
  <si>
    <t>PRI-MAN-166</t>
  </si>
  <si>
    <t>PRI-MAN-167</t>
  </si>
  <si>
    <t>PRI-LON-168</t>
  </si>
  <si>
    <t>PRI-LON-169</t>
  </si>
  <si>
    <t>PRI-LON-170</t>
  </si>
  <si>
    <t>PRI-LON-171</t>
  </si>
  <si>
    <t>Month</t>
  </si>
  <si>
    <t>Receipts_Units</t>
  </si>
  <si>
    <t>Issues_Units</t>
  </si>
  <si>
    <t>Net_Movement</t>
  </si>
  <si>
    <t>Inventory_Value</t>
  </si>
  <si>
    <t>Weeks_Cover</t>
  </si>
  <si>
    <t>Safety_Stock</t>
  </si>
  <si>
    <t>Reorder_Point</t>
  </si>
  <si>
    <t>Projected_Stock_After_LT</t>
  </si>
  <si>
    <t>Reorder_Flag</t>
  </si>
  <si>
    <t>Excess_Stock_Flag</t>
  </si>
  <si>
    <t>Metric</t>
  </si>
  <si>
    <t>Value</t>
  </si>
  <si>
    <t>Total Inventory Value</t>
  </si>
  <si>
    <t>Total SKUs</t>
  </si>
  <si>
    <t>Average Weeks Cover</t>
  </si>
  <si>
    <t>SKUs to Reorder</t>
  </si>
  <si>
    <t>SKUs with Excess Stock</t>
  </si>
  <si>
    <t>Highest Category Value</t>
  </si>
  <si>
    <t>Highest Warehouse Value</t>
  </si>
  <si>
    <t>Inventory Value</t>
  </si>
  <si>
    <t>Reorder SKUs</t>
  </si>
  <si>
    <t>Variable</t>
  </si>
  <si>
    <t>Baseline Reorder SKUs</t>
  </si>
  <si>
    <t>Scenario Reorder SKUs</t>
  </si>
  <si>
    <t>Baseline Avg ROP</t>
  </si>
  <si>
    <t>Scenario Avg ROP</t>
  </si>
  <si>
    <t>Impact</t>
  </si>
  <si>
    <t>Demand Increase %</t>
  </si>
  <si>
    <t>Lead Time Increase (days)</t>
  </si>
  <si>
    <t>Comment</t>
  </si>
  <si>
    <t>Inventory Command Centre</t>
  </si>
  <si>
    <t>Operational dashboard focused on stock risk, coverage, and restocking pressure</t>
  </si>
  <si>
    <t>SKUs Requiring Action</t>
  </si>
  <si>
    <t>Category Pressure Map</t>
  </si>
  <si>
    <t>Warehouse Pulse</t>
  </si>
  <si>
    <t>Weeks Cover</t>
  </si>
  <si>
    <t>Priority</t>
  </si>
  <si>
    <t>Core compute category</t>
  </si>
  <si>
    <t>Review first</t>
  </si>
  <si>
    <t>Watch demand + lead time</t>
  </si>
  <si>
    <t>Stable</t>
  </si>
  <si>
    <t>High value exposure</t>
  </si>
  <si>
    <t>Monitor</t>
  </si>
  <si>
    <t>Accessory restock risk</t>
  </si>
  <si>
    <t>Coverage stable</t>
  </si>
  <si>
    <t>Lowest urgency</t>
  </si>
  <si>
    <t>Scenario Watch</t>
  </si>
  <si>
    <t>Baseline Reorder</t>
  </si>
  <si>
    <t>Scenario Reorder</t>
  </si>
  <si>
    <t>Interpretation</t>
  </si>
  <si>
    <t>Action</t>
  </si>
  <si>
    <t>Status</t>
  </si>
  <si>
    <t>Source</t>
  </si>
  <si>
    <t>Demand stress lifts reorder pressure</t>
  </si>
  <si>
    <t>Increase coverage buffer</t>
  </si>
  <si>
    <t>Open</t>
  </si>
  <si>
    <t>Scenario 1</t>
  </si>
  <si>
    <t>Lead-time shock widens reorder point</t>
  </si>
  <si>
    <t>Watch supplier timings</t>
  </si>
  <si>
    <t>Scenario 2</t>
  </si>
  <si>
    <t>Category remains sensitive</t>
  </si>
  <si>
    <t>Keep weekly review</t>
  </si>
  <si>
    <t>Scenario 3</t>
  </si>
  <si>
    <t>Small items still escalate quickly</t>
  </si>
  <si>
    <t>Batch purchase candidates</t>
  </si>
  <si>
    <t>Scenario 4</t>
  </si>
  <si>
    <t>Reorder lift is visible</t>
  </si>
  <si>
    <t>Hold safety stock</t>
  </si>
  <si>
    <t>Scenario 5</t>
  </si>
  <si>
    <t>Limited change but still material</t>
  </si>
  <si>
    <t>Low urgency</t>
  </si>
  <si>
    <t>Watch</t>
  </si>
  <si>
    <t>Scenario 6</t>
  </si>
  <si>
    <t>Inventory Operations Control Panel</t>
  </si>
  <si>
    <t>Value at Risk</t>
  </si>
  <si>
    <t>SKU Count</t>
  </si>
  <si>
    <t>Urgent Actions</t>
  </si>
  <si>
    <t>Coverage</t>
  </si>
  <si>
    <t>Excess</t>
  </si>
  <si>
    <t>Top Category</t>
  </si>
  <si>
    <t>Category Exposure</t>
  </si>
  <si>
    <t>Warehouse Snapshot</t>
  </si>
  <si>
    <t>Avg Weeks Cover</t>
  </si>
  <si>
    <t>Model Notes</t>
  </si>
  <si>
    <t>This front sheet is a cleaner presentation layer built from the original inventory model. Use Action_View for the main SKU decision table, Reorder_Model for full logic, Raw_Inventory_Data for source records, and Stock_Movements for the transaction ledger.</t>
  </si>
  <si>
    <t>SKU Replenishment Action View</t>
  </si>
  <si>
    <t>Current Stock</t>
  </si>
  <si>
    <t>Weekly Demand</t>
  </si>
  <si>
    <t>Reorder Point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</si>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</sst>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0.0"/>
    <numFmt numFmtId="166" formatCode="0.0%"/>
    <numFmt numFmtId="167" formatCode="\£#,##0.00"/>
    <numFmt numFmtId="168" formatCode="\$#,##0.00"/>
  </numFmts>
  <fonts count="13">
    <font>
      <sz val="11"/>
      <name val="Carlito"/>
    </font>
    <font>
      <b/>
      <sz val="11"/>
      <color theme="0"/>
      <name val="Carlito"/>
    </font>
    <font>
      <b/>
      <sz val="16"/>
      <color rgb="FFFFFFFF"/>
      <name val="Carlito"/>
    </font>
    <font>
      <b/>
      <sz val="14"/>
      <color rgb="FF17365D"/>
      <name val="Carlito"/>
    </font>
    <font>
      <b/>
      <sz val="11"/>
      <color rgb="FF5B5B5B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color rgb="FF17365D"/>
      <name val="Carlito"/>
    </font>
    <font>
      <i/>
      <sz val="11"/>
      <color rgb="FF1F2937"/>
      <name val="Carlito"/>
    </font>
    <font>
      <b/>
      <sz val="11"/>
      <color rgb="FF374151"/>
      <name val="Carlito"/>
    </font>
    <font>
      <b/>
      <sz val="16"/>
      <color rgb="FF111827"/>
      <name val="Carlito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rgb="FF1F4E78"/>
      </patternFill>
    </fill>
    <fill>
      <patternFill patternType="solid">
        <fgColor rgb="FFDCE6F1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theme="4"/>
      </patternFill>
    </fill>
    <fill>
      <patternFill patternType="solid">
        <fgColor theme="4" tint="0.44999542222357858"/>
        <bgColor indexed="65"/>
      </patternFill>
    </fill>
    <fill>
      <patternFill patternType="solid">
        <fgColor theme="5" tint="0.64998321481978816"/>
        <bgColor indexed="65"/>
      </patternFill>
    </fill>
    <fill>
      <patternFill patternType="solid">
        <fgColor theme="5" tint="0.77999206518753628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9"/>
      </patternFill>
    </fill>
  </fills>
  <borders count="19">
    <border>
      <left/>
      <right/>
      <top/>
      <bottom/>
      <diagonal/>
    </border>
    <border>
      <left style="thin">
        <color rgb="FF9EADBA"/>
      </left>
      <right style="thin">
        <color rgb="FF9EADBA"/>
      </right>
      <top style="thin">
        <color rgb="FF9EADBA"/>
      </top>
      <bottom style="thin">
        <color rgb="FF9EADBA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/>
      <top style="medium">
        <color theme="5"/>
      </top>
      <bottom/>
      <diagonal/>
    </border>
    <border>
      <left/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/>
      <top/>
      <bottom/>
      <diagonal/>
    </border>
    <border>
      <left/>
      <right style="medium">
        <color theme="5"/>
      </right>
      <top/>
      <bottom/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12" fillId="9" borderId="0" applyNumberFormat="0" applyBorder="0" applyAlignment="0" applyProtection="0"/>
  </cellStyleXfs>
  <cellXfs count="102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1" fontId="0" fillId="0" borderId="0" xfId="0" applyNumberFormat="1" applyFont="1" applyFill="1" applyBorder="1"/>
    <xf numFmtId="165" fontId="0" fillId="0" borderId="0" xfId="0" applyNumberFormat="1" applyFont="1" applyFill="1" applyBorder="1"/>
    <xf numFmtId="15" fontId="0" fillId="0" borderId="0" xfId="0" applyNumberFormat="1" applyFont="1" applyFill="1" applyBorder="1"/>
    <xf numFmtId="0" fontId="1" fillId="3" borderId="0" xfId="0" applyNumberFormat="1" applyFont="1" applyFill="1" applyBorder="1" applyAlignment="1">
      <alignment horizontal="center" vertical="center" wrapText="1"/>
    </xf>
    <xf numFmtId="17" fontId="0" fillId="0" borderId="0" xfId="0" applyNumberFormat="1" applyFont="1" applyFill="1" applyBorder="1"/>
    <xf numFmtId="0" fontId="1" fillId="4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/>
    <xf numFmtId="0" fontId="0" fillId="0" borderId="2" xfId="0" applyNumberFormat="1" applyFont="1" applyFill="1" applyBorder="1"/>
    <xf numFmtId="0" fontId="0" fillId="0" borderId="3" xfId="0" applyNumberFormat="1" applyFont="1" applyFill="1" applyBorder="1"/>
    <xf numFmtId="0" fontId="0" fillId="0" borderId="4" xfId="0" applyNumberFormat="1" applyFont="1" applyFill="1" applyBorder="1"/>
    <xf numFmtId="0" fontId="0" fillId="0" borderId="5" xfId="0" applyNumberFormat="1" applyFont="1" applyFill="1" applyBorder="1"/>
    <xf numFmtId="0" fontId="0" fillId="0" borderId="0" xfId="0" applyNumberFormat="1" applyFont="1" applyFill="1"/>
    <xf numFmtId="0" fontId="0" fillId="0" borderId="6" xfId="0" applyNumberFormat="1" applyFont="1" applyFill="1" applyBorder="1"/>
    <xf numFmtId="0" fontId="0" fillId="0" borderId="7" xfId="0" applyNumberFormat="1" applyFont="1" applyFill="1" applyBorder="1"/>
    <xf numFmtId="0" fontId="0" fillId="0" borderId="8" xfId="0" applyNumberFormat="1" applyFont="1" applyFill="1" applyBorder="1"/>
    <xf numFmtId="0" fontId="0" fillId="0" borderId="9" xfId="0" applyNumberFormat="1" applyFont="1" applyFill="1" applyBorder="1"/>
    <xf numFmtId="167" fontId="0" fillId="0" borderId="0" xfId="0" applyNumberFormat="1" applyFont="1" applyFill="1"/>
    <xf numFmtId="167" fontId="0" fillId="0" borderId="8" xfId="0" applyNumberFormat="1" applyFont="1" applyFill="1" applyBorder="1"/>
    <xf numFmtId="2" fontId="0" fillId="0" borderId="6" xfId="0" applyNumberFormat="1" applyFont="1" applyFill="1" applyBorder="1"/>
    <xf numFmtId="2" fontId="0" fillId="0" borderId="9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7" fillId="8" borderId="2" xfId="0" applyNumberFormat="1" applyFont="1" applyFill="1" applyBorder="1" applyAlignment="1">
      <alignment horizontal="center"/>
    </xf>
    <xf numFmtId="0" fontId="7" fillId="8" borderId="3" xfId="0" applyNumberFormat="1" applyFont="1" applyFill="1" applyBorder="1" applyAlignment="1">
      <alignment horizontal="center"/>
    </xf>
    <xf numFmtId="0" fontId="7" fillId="8" borderId="4" xfId="0" applyNumberFormat="1" applyFont="1" applyFill="1" applyBorder="1" applyAlignment="1">
      <alignment horizontal="center"/>
    </xf>
    <xf numFmtId="1" fontId="0" fillId="0" borderId="0" xfId="0" applyNumberFormat="1" applyFont="1" applyFill="1"/>
    <xf numFmtId="1" fontId="0" fillId="0" borderId="8" xfId="0" applyNumberFormat="1" applyFont="1" applyFill="1" applyBorder="1"/>
    <xf numFmtId="165" fontId="0" fillId="0" borderId="0" xfId="0" applyNumberFormat="1" applyFont="1" applyFill="1"/>
    <xf numFmtId="165" fontId="0" fillId="0" borderId="8" xfId="0" applyNumberFormat="1" applyFont="1" applyFill="1" applyBorder="1"/>
    <xf numFmtId="2" fontId="0" fillId="0" borderId="0" xfId="0" applyNumberFormat="1" applyFont="1" applyFill="1"/>
    <xf numFmtId="2" fontId="0" fillId="0" borderId="8" xfId="0" applyNumberFormat="1" applyFont="1" applyFill="1" applyBorder="1"/>
    <xf numFmtId="164" fontId="0" fillId="0" borderId="0" xfId="0" applyNumberFormat="1" applyFont="1" applyFill="1" applyBorder="1" applyAlignment="1">
      <alignment wrapText="1"/>
    </xf>
    <xf numFmtId="1" fontId="0" fillId="0" borderId="0" xfId="0" applyNumberFormat="1" applyFont="1" applyFill="1" applyBorder="1" applyAlignment="1">
      <alignment wrapText="1"/>
    </xf>
    <xf numFmtId="165" fontId="0" fillId="0" borderId="0" xfId="0" applyNumberFormat="1" applyFont="1" applyFill="1" applyBorder="1" applyAlignment="1">
      <alignment wrapText="1"/>
    </xf>
    <xf numFmtId="15" fontId="0" fillId="0" borderId="0" xfId="0" applyNumberFormat="1" applyFont="1" applyFill="1" applyBorder="1" applyAlignment="1">
      <alignment wrapText="1"/>
    </xf>
    <xf numFmtId="0" fontId="5" fillId="5" borderId="0" xfId="0" applyNumberFormat="1" applyFont="1" applyFill="1" applyBorder="1" applyAlignment="1">
      <alignment horizontal="center" vertical="center" wrapText="1"/>
    </xf>
    <xf numFmtId="17" fontId="0" fillId="0" borderId="0" xfId="0" applyNumberFormat="1" applyFont="1" applyFill="1" applyBorder="1" applyAlignment="1">
      <alignment wrapText="1"/>
    </xf>
    <xf numFmtId="0" fontId="5" fillId="5" borderId="0" xfId="0" applyNumberFormat="1" applyFont="1" applyFill="1" applyBorder="1" applyAlignment="1">
      <alignment horizontal="center" wrapText="1"/>
    </xf>
    <xf numFmtId="166" fontId="0" fillId="0" borderId="0" xfId="0" applyNumberFormat="1" applyFont="1" applyFill="1" applyBorder="1" applyAlignment="1">
      <alignment wrapText="1"/>
    </xf>
    <xf numFmtId="0" fontId="5" fillId="13" borderId="18" xfId="0" applyNumberFormat="1" applyFont="1" applyFill="1" applyBorder="1" applyAlignment="1">
      <alignment vertical="center"/>
    </xf>
    <xf numFmtId="0" fontId="0" fillId="0" borderId="18" xfId="0" applyNumberFormat="1" applyFont="1" applyFill="1" applyBorder="1" applyAlignment="1">
      <alignment vertical="center"/>
    </xf>
    <xf numFmtId="168" fontId="0" fillId="0" borderId="18" xfId="0" applyNumberFormat="1" applyFont="1" applyFill="1" applyBorder="1" applyAlignment="1">
      <alignment vertical="center"/>
    </xf>
    <xf numFmtId="2" fontId="0" fillId="0" borderId="18" xfId="0" applyNumberFormat="1" applyFont="1" applyFill="1" applyBorder="1" applyAlignment="1">
      <alignment vertical="center"/>
    </xf>
    <xf numFmtId="1" fontId="0" fillId="0" borderId="18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/>
    </xf>
    <xf numFmtId="0" fontId="5" fillId="15" borderId="18" xfId="0" applyNumberFormat="1" applyFont="1" applyFill="1" applyBorder="1" applyAlignment="1">
      <alignment vertical="center"/>
    </xf>
    <xf numFmtId="0" fontId="5" fillId="14" borderId="18" xfId="0" applyNumberFormat="1" applyFont="1" applyFill="1" applyBorder="1" applyAlignment="1">
      <alignment vertical="center"/>
    </xf>
    <xf numFmtId="165" fontId="0" fillId="0" borderId="0" xfId="0" applyNumberFormat="1" applyFont="1" applyFill="1" applyBorder="1" applyAlignment="1">
      <alignment vertical="center"/>
    </xf>
    <xf numFmtId="0" fontId="2" fillId="9" borderId="0" xfId="0" applyNumberFormat="1" applyFont="1" applyFill="1" applyBorder="1" applyAlignment="1">
      <alignment horizontal="center"/>
    </xf>
    <xf numFmtId="0" fontId="8" fillId="10" borderId="0" xfId="0" applyNumberFormat="1" applyFont="1" applyFill="1" applyBorder="1"/>
    <xf numFmtId="168" fontId="9" fillId="11" borderId="10" xfId="0" applyNumberFormat="1" applyFont="1" applyFill="1" applyBorder="1" applyAlignment="1">
      <alignment horizontal="center" vertical="center" wrapText="1"/>
    </xf>
    <xf numFmtId="164" fontId="9" fillId="11" borderId="11" xfId="0" applyNumberFormat="1" applyFont="1" applyFill="1" applyBorder="1" applyAlignment="1">
      <alignment horizontal="center" vertical="center"/>
    </xf>
    <xf numFmtId="0" fontId="9" fillId="11" borderId="12" xfId="0" applyNumberFormat="1" applyFont="1" applyFill="1" applyBorder="1" applyAlignment="1">
      <alignment horizontal="center" vertical="center"/>
    </xf>
    <xf numFmtId="0" fontId="9" fillId="11" borderId="13" xfId="0" applyNumberFormat="1" applyFont="1" applyFill="1" applyBorder="1" applyAlignment="1">
      <alignment horizontal="center" vertical="center"/>
    </xf>
    <xf numFmtId="165" fontId="9" fillId="11" borderId="0" xfId="0" applyNumberFormat="1" applyFont="1" applyFill="1" applyAlignment="1">
      <alignment horizontal="center" vertical="center"/>
    </xf>
    <xf numFmtId="0" fontId="9" fillId="11" borderId="14" xfId="0" applyNumberFormat="1" applyFont="1" applyFill="1" applyBorder="1" applyAlignment="1">
      <alignment horizontal="center" vertical="center"/>
    </xf>
    <xf numFmtId="168" fontId="10" fillId="12" borderId="13" xfId="0" applyNumberFormat="1" applyFont="1" applyFill="1" applyBorder="1" applyAlignment="1">
      <alignment horizontal="center" vertical="center"/>
    </xf>
    <xf numFmtId="168" fontId="10" fillId="12" borderId="0" xfId="0" applyNumberFormat="1" applyFont="1" applyFill="1" applyAlignment="1">
      <alignment horizontal="center" vertical="center"/>
    </xf>
    <xf numFmtId="168" fontId="10" fillId="12" borderId="14" xfId="0" applyNumberFormat="1" applyFont="1" applyFill="1" applyBorder="1" applyAlignment="1">
      <alignment horizontal="center" vertical="center"/>
    </xf>
    <xf numFmtId="168" fontId="10" fillId="12" borderId="15" xfId="0" applyNumberFormat="1" applyFont="1" applyFill="1" applyBorder="1" applyAlignment="1">
      <alignment horizontal="center" vertical="center"/>
    </xf>
    <xf numFmtId="168" fontId="10" fillId="12" borderId="16" xfId="0" applyNumberFormat="1" applyFont="1" applyFill="1" applyBorder="1" applyAlignment="1">
      <alignment horizontal="center" vertical="center"/>
    </xf>
    <xf numFmtId="168" fontId="10" fillId="12" borderId="17" xfId="0" applyNumberFormat="1" applyFont="1" applyFill="1" applyBorder="1" applyAlignment="1">
      <alignment horizontal="center" vertical="center"/>
    </xf>
    <xf numFmtId="1" fontId="9" fillId="11" borderId="10" xfId="0" applyNumberFormat="1" applyFont="1" applyFill="1" applyBorder="1" applyAlignment="1">
      <alignment horizontal="center" vertical="center" wrapText="1"/>
    </xf>
    <xf numFmtId="165" fontId="9" fillId="11" borderId="12" xfId="0" applyNumberFormat="1" applyFont="1" applyFill="1" applyBorder="1" applyAlignment="1">
      <alignment horizontal="center" vertical="center"/>
    </xf>
    <xf numFmtId="164" fontId="9" fillId="11" borderId="0" xfId="0" applyNumberFormat="1" applyFont="1" applyFill="1" applyAlignment="1">
      <alignment horizontal="center" vertical="center"/>
    </xf>
    <xf numFmtId="165" fontId="9" fillId="11" borderId="14" xfId="0" applyNumberFormat="1" applyFont="1" applyFill="1" applyBorder="1" applyAlignment="1">
      <alignment horizontal="center" vertical="center"/>
    </xf>
    <xf numFmtId="1" fontId="10" fillId="12" borderId="13" xfId="0" applyNumberFormat="1" applyFont="1" applyFill="1" applyBorder="1" applyAlignment="1">
      <alignment horizontal="center" vertical="center"/>
    </xf>
    <xf numFmtId="1" fontId="10" fillId="12" borderId="0" xfId="0" applyNumberFormat="1" applyFont="1" applyFill="1" applyAlignment="1">
      <alignment horizontal="center" vertical="center"/>
    </xf>
    <xf numFmtId="1" fontId="10" fillId="12" borderId="14" xfId="0" applyNumberFormat="1" applyFont="1" applyFill="1" applyBorder="1" applyAlignment="1">
      <alignment horizontal="center" vertical="center"/>
    </xf>
    <xf numFmtId="1" fontId="10" fillId="12" borderId="15" xfId="0" applyNumberFormat="1" applyFont="1" applyFill="1" applyBorder="1" applyAlignment="1">
      <alignment horizontal="center" vertical="center"/>
    </xf>
    <xf numFmtId="1" fontId="10" fillId="12" borderId="16" xfId="0" applyNumberFormat="1" applyFont="1" applyFill="1" applyBorder="1" applyAlignment="1">
      <alignment horizontal="center" vertical="center"/>
    </xf>
    <xf numFmtId="1" fontId="10" fillId="12" borderId="17" xfId="0" applyNumberFormat="1" applyFont="1" applyFill="1" applyBorder="1" applyAlignment="1">
      <alignment horizontal="center" vertical="center"/>
    </xf>
    <xf numFmtId="2" fontId="9" fillId="11" borderId="10" xfId="0" applyNumberFormat="1" applyFont="1" applyFill="1" applyBorder="1" applyAlignment="1">
      <alignment horizontal="center" vertical="center" wrapText="1"/>
    </xf>
    <xf numFmtId="0" fontId="9" fillId="11" borderId="11" xfId="0" applyNumberFormat="1" applyFont="1" applyFill="1" applyBorder="1" applyAlignment="1">
      <alignment horizontal="center" vertical="center"/>
    </xf>
    <xf numFmtId="1" fontId="9" fillId="11" borderId="12" xfId="0" applyNumberFormat="1" applyFont="1" applyFill="1" applyBorder="1" applyAlignment="1">
      <alignment horizontal="center" vertical="center"/>
    </xf>
    <xf numFmtId="0" fontId="9" fillId="11" borderId="0" xfId="0" applyNumberFormat="1" applyFont="1" applyFill="1" applyAlignment="1">
      <alignment horizontal="center" vertical="center"/>
    </xf>
    <xf numFmtId="1" fontId="9" fillId="11" borderId="14" xfId="0" applyNumberFormat="1" applyFont="1" applyFill="1" applyBorder="1" applyAlignment="1">
      <alignment horizontal="center" vertical="center"/>
    </xf>
    <xf numFmtId="2" fontId="10" fillId="12" borderId="13" xfId="0" applyNumberFormat="1" applyFont="1" applyFill="1" applyBorder="1" applyAlignment="1">
      <alignment horizontal="center" vertical="center"/>
    </xf>
    <xf numFmtId="2" fontId="10" fillId="12" borderId="0" xfId="0" applyNumberFormat="1" applyFont="1" applyFill="1" applyAlignment="1">
      <alignment horizontal="center" vertical="center"/>
    </xf>
    <xf numFmtId="2" fontId="10" fillId="12" borderId="14" xfId="0" applyNumberFormat="1" applyFont="1" applyFill="1" applyBorder="1" applyAlignment="1">
      <alignment horizontal="center" vertical="center"/>
    </xf>
    <xf numFmtId="2" fontId="10" fillId="12" borderId="15" xfId="0" applyNumberFormat="1" applyFont="1" applyFill="1" applyBorder="1" applyAlignment="1">
      <alignment horizontal="center" vertical="center"/>
    </xf>
    <xf numFmtId="2" fontId="10" fillId="12" borderId="16" xfId="0" applyNumberFormat="1" applyFont="1" applyFill="1" applyBorder="1" applyAlignment="1">
      <alignment horizontal="center" vertical="center"/>
    </xf>
    <xf numFmtId="2" fontId="10" fillId="12" borderId="17" xfId="0" applyNumberFormat="1" applyFont="1" applyFill="1" applyBorder="1" applyAlignment="1">
      <alignment horizontal="center" vertical="center"/>
    </xf>
    <xf numFmtId="0" fontId="2" fillId="5" borderId="0" xfId="0" applyNumberFormat="1" applyFont="1" applyFill="1" applyBorder="1" applyAlignment="1">
      <alignment horizontal="center" vertical="center"/>
    </xf>
    <xf numFmtId="167" fontId="3" fillId="6" borderId="1" xfId="0" applyNumberFormat="1" applyFont="1" applyFill="1" applyBorder="1" applyAlignment="1">
      <alignment horizontal="center" vertical="center" wrapText="1"/>
    </xf>
    <xf numFmtId="0" fontId="0" fillId="0" borderId="0" xfId="0"/>
    <xf numFmtId="1" fontId="3" fillId="6" borderId="1" xfId="0" applyNumberFormat="1" applyFont="1" applyFill="1" applyBorder="1" applyAlignment="1">
      <alignment horizontal="center" vertical="center" wrapText="1"/>
    </xf>
    <xf numFmtId="2" fontId="3" fillId="6" borderId="1" xfId="0" applyNumberFormat="1" applyFont="1" applyFill="1" applyBorder="1" applyAlignment="1">
      <alignment horizontal="center" vertical="center" wrapText="1"/>
    </xf>
    <xf numFmtId="0" fontId="5" fillId="7" borderId="0" xfId="0" applyNumberFormat="1" applyFont="1" applyFill="1" applyBorder="1" applyAlignment="1">
      <alignment horizontal="left"/>
    </xf>
    <xf numFmtId="0" fontId="6" fillId="5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right" wrapText="1"/>
    </xf>
    <xf numFmtId="164" fontId="0" fillId="0" borderId="0" xfId="0" applyNumberFormat="1" applyFont="1" applyFill="1" applyBorder="1" applyAlignment="1">
      <alignment horizontal="right" wrapText="1"/>
    </xf>
    <xf numFmtId="1" fontId="0" fillId="0" borderId="0" xfId="0" applyNumberFormat="1" applyFont="1" applyFill="1" applyBorder="1" applyAlignment="1">
      <alignment horizontal="right" wrapText="1"/>
    </xf>
    <xf numFmtId="0" fontId="0" fillId="0" borderId="0" xfId="0" applyAlignment="1">
      <alignment horizontal="right"/>
    </xf>
    <xf numFmtId="164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12" fillId="9" borderId="0" xfId="1" applyNumberFormat="1" applyBorder="1" applyAlignment="1">
      <alignment vertical="center"/>
    </xf>
    <xf numFmtId="164" fontId="12" fillId="9" borderId="0" xfId="1" applyNumberFormat="1" applyBorder="1" applyAlignment="1">
      <alignment vertical="center"/>
    </xf>
    <xf numFmtId="0" fontId="11" fillId="9" borderId="0" xfId="1" applyNumberFormat="1" applyFont="1" applyBorder="1" applyAlignment="1">
      <alignment vertical="center"/>
    </xf>
    <xf numFmtId="0" fontId="0" fillId="0" borderId="0" xfId="0" applyNumberFormat="1" applyFont="1" applyFill="1" applyBorder="1" applyAlignment="1">
      <alignment horizontal="center" wrapText="1"/>
    </xf>
  </cellXfs>
  <cellStyles count="2">
    <cellStyle name="Accent1" xfId="1" builtinId="29"/>
    <cellStyle name="Normal" xfId="0" builtinId="0"/>
  </cellStyles>
  <dxfs count="5">
    <dxf>
      <font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DE9D9"/>
        </patternFill>
      </fill>
    </dxf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GB"/>
              <a:t>Warehouse Value Mix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Inventory Value</c:v>
          </c:tx>
          <c:invertIfNegative val="1"/>
          <c:cat>
            <c:strLit>
              <c:ptCount val="1"/>
              <c:pt idx="0">
                <c:v>=Dashboard!G11:G13</c:v>
              </c:pt>
            </c:strLit>
          </c:cat>
          <c:val>
            <c:numLit>
              <c:formatCode>General</c:formatCode>
              <c:ptCount val="18"/>
              <c:pt idx="12">
                <c:v>1</c:v>
              </c:pt>
              <c:pt idx="13">
                <c:v>1</c:v>
              </c:pt>
              <c:pt idx="16">
                <c:v>1</c:v>
              </c:pt>
              <c:pt idx="17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0-D54E-47D5-AF85-2D42041AC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GB"/>
              <a:t>Inventory Value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Inventory Value</c:v>
          </c:tx>
          <c:invertIfNegative val="1"/>
          <c:cat>
            <c:strRef>
              <c:f>Control_Panel!$A$15:$A$20</c:f>
              <c:strCache>
                <c:ptCount val="6"/>
                <c:pt idx="0">
                  <c:v>Laptops</c:v>
                </c:pt>
                <c:pt idx="1">
                  <c:v>Tablets</c:v>
                </c:pt>
                <c:pt idx="2">
                  <c:v>Phones</c:v>
                </c:pt>
                <c:pt idx="3">
                  <c:v>Accessories</c:v>
                </c:pt>
                <c:pt idx="4">
                  <c:v>Monitors</c:v>
                </c:pt>
                <c:pt idx="5">
                  <c:v>Printers</c:v>
                </c:pt>
              </c:strCache>
            </c:strRef>
          </c:cat>
          <c:val>
            <c:numRef>
              <c:f>Control_Panel!$B$15:$B$20</c:f>
              <c:numCache>
                <c:formatCode>\£#,##0.00</c:formatCode>
                <c:ptCount val="6"/>
                <c:pt idx="0">
                  <c:v>552587.07000000007</c:v>
                </c:pt>
                <c:pt idx="1">
                  <c:v>302225.87</c:v>
                </c:pt>
                <c:pt idx="2">
                  <c:v>540486.81000000006</c:v>
                </c:pt>
                <c:pt idx="3">
                  <c:v>81020.519999999975</c:v>
                </c:pt>
                <c:pt idx="4">
                  <c:v>167045.87</c:v>
                </c:pt>
                <c:pt idx="5">
                  <c:v>196263.43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3-467C-A3EA-7558B7153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£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9</xdr:row>
      <xdr:rowOff>0</xdr:rowOff>
    </xdr:from>
    <xdr:ext cx="3429000" cy="2095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InventoryData" displayName="RawInventoryData" ref="A1:L73">
  <tableColumns count="12">
    <tableColumn id="1" xr3:uid="{00000000-0010-0000-0000-000001000000}" name="SKU"/>
    <tableColumn id="2" xr3:uid="{00000000-0010-0000-0000-000002000000}" name="Category"/>
    <tableColumn id="3" xr3:uid="{00000000-0010-0000-0000-000003000000}" name="Supplier"/>
    <tableColumn id="4" xr3:uid="{00000000-0010-0000-0000-000004000000}" name="Warehouse"/>
    <tableColumn id="5" xr3:uid="{00000000-0010-0000-0000-000005000000}" name="Unit_Cost"/>
    <tableColumn id="6" xr3:uid="{00000000-0010-0000-0000-000006000000}" name="Current_Stock"/>
    <tableColumn id="7" xr3:uid="{00000000-0010-0000-0000-000007000000}" name="Weekly_Demand"/>
    <tableColumn id="8" xr3:uid="{00000000-0010-0000-0000-000008000000}" name="Lead_Time_Days"/>
    <tableColumn id="9" xr3:uid="{00000000-0010-0000-0000-000009000000}" name="Service_Factor"/>
    <tableColumn id="10" xr3:uid="{00000000-0010-0000-0000-00000A000000}" name="Order_Batch_Qty"/>
    <tableColumn id="11" xr3:uid="{00000000-0010-0000-0000-00000B000000}" name="On_Order_Qty"/>
    <tableColumn id="12" xr3:uid="{00000000-0010-0000-0000-00000C000000}" name="Last_Receipt_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StockMovements" displayName="StockMovements" ref="A1:F577">
  <tableColumns count="6">
    <tableColumn id="1" xr3:uid="{00000000-0010-0000-0200-000001000000}" name="Month"/>
    <tableColumn id="2" xr3:uid="{00000000-0010-0000-0200-000002000000}" name="SKU"/>
    <tableColumn id="3" xr3:uid="{00000000-0010-0000-0200-000003000000}" name="Warehouse"/>
    <tableColumn id="4" xr3:uid="{00000000-0010-0000-0200-000004000000}" name="Receipts_Units"/>
    <tableColumn id="5" xr3:uid="{00000000-0010-0000-0200-000005000000}" name="Issues_Units"/>
    <tableColumn id="6" xr3:uid="{00000000-0010-0000-0200-000006000000}" name="Net_Move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3"/>
  <sheetViews>
    <sheetView workbookViewId="0"/>
  </sheetViews>
  <sheetFormatPr defaultRowHeight="14.25"/>
  <cols>
    <col min="1" max="1" width="16.875" customWidth="1"/>
    <col min="2" max="2" width="12.375" customWidth="1"/>
    <col min="3" max="3" width="18.125" customWidth="1"/>
    <col min="4" max="4" width="18" customWidth="1"/>
    <col min="5" max="5" width="10.625" customWidth="1"/>
    <col min="6" max="6" width="15.25" customWidth="1"/>
    <col min="7" max="7" width="18.375" customWidth="1"/>
    <col min="8" max="8" width="18.125" customWidth="1"/>
    <col min="9" max="9" width="15.875" customWidth="1"/>
    <col min="10" max="10" width="18.875" customWidth="1"/>
    <col min="11" max="11" width="16" customWidth="1"/>
    <col min="12" max="12" width="20" customWidth="1"/>
  </cols>
  <sheetData>
    <row r="1" spans="1:18" ht="15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23"/>
      <c r="N1" s="23"/>
      <c r="O1" s="23"/>
      <c r="P1" s="23"/>
      <c r="Q1" s="23"/>
      <c r="R1" s="23"/>
    </row>
    <row r="2" spans="1:18">
      <c r="A2" s="23" t="s">
        <v>12</v>
      </c>
      <c r="B2" s="23" t="s">
        <v>13</v>
      </c>
      <c r="C2" s="23" t="s">
        <v>14</v>
      </c>
      <c r="D2" s="23" t="s">
        <v>15</v>
      </c>
      <c r="E2" s="33">
        <v>387.23</v>
      </c>
      <c r="F2" s="34">
        <v>62</v>
      </c>
      <c r="G2" s="35">
        <v>19.399999999999999</v>
      </c>
      <c r="H2" s="23">
        <v>18</v>
      </c>
      <c r="I2" s="23">
        <v>1.28</v>
      </c>
      <c r="J2" s="23">
        <v>60</v>
      </c>
      <c r="K2" s="23">
        <v>0</v>
      </c>
      <c r="L2" s="36">
        <v>45874</v>
      </c>
      <c r="M2" s="23"/>
      <c r="N2" s="23"/>
      <c r="O2" s="23"/>
      <c r="P2" s="23"/>
      <c r="Q2" s="23"/>
      <c r="R2" s="23"/>
    </row>
    <row r="3" spans="1:18">
      <c r="A3" s="23" t="s">
        <v>16</v>
      </c>
      <c r="B3" s="23" t="s">
        <v>13</v>
      </c>
      <c r="C3" s="23" t="s">
        <v>14</v>
      </c>
      <c r="D3" s="23" t="s">
        <v>15</v>
      </c>
      <c r="E3" s="33">
        <v>396.31</v>
      </c>
      <c r="F3" s="34">
        <v>95</v>
      </c>
      <c r="G3" s="35">
        <v>23.6</v>
      </c>
      <c r="H3" s="23">
        <v>28</v>
      </c>
      <c r="I3" s="23">
        <v>1.1499999999999999</v>
      </c>
      <c r="J3" s="23">
        <v>25</v>
      </c>
      <c r="K3" s="23">
        <v>40</v>
      </c>
      <c r="L3" s="36">
        <v>46011</v>
      </c>
      <c r="M3" s="23"/>
      <c r="N3" s="23"/>
      <c r="O3" s="23"/>
      <c r="P3" s="23"/>
      <c r="Q3" s="23"/>
      <c r="R3" s="23"/>
    </row>
    <row r="4" spans="1:18">
      <c r="A4" t="s">
        <v>17</v>
      </c>
      <c r="B4" t="s">
        <v>13</v>
      </c>
      <c r="C4" t="s">
        <v>14</v>
      </c>
      <c r="D4" t="s">
        <v>15</v>
      </c>
      <c r="E4" s="2">
        <v>414.12</v>
      </c>
      <c r="F4" s="3">
        <v>164</v>
      </c>
      <c r="G4" s="4">
        <v>25.3</v>
      </c>
      <c r="H4">
        <v>7</v>
      </c>
      <c r="I4">
        <v>1.1499999999999999</v>
      </c>
      <c r="J4">
        <v>20</v>
      </c>
      <c r="K4">
        <v>20</v>
      </c>
      <c r="L4" s="5">
        <v>45935</v>
      </c>
    </row>
    <row r="5" spans="1:18">
      <c r="A5" t="s">
        <v>18</v>
      </c>
      <c r="B5" t="s">
        <v>13</v>
      </c>
      <c r="C5" t="s">
        <v>14</v>
      </c>
      <c r="D5" t="s">
        <v>15</v>
      </c>
      <c r="E5" s="2">
        <v>400.24</v>
      </c>
      <c r="F5" s="3">
        <v>133</v>
      </c>
      <c r="G5" s="4">
        <v>21.3</v>
      </c>
      <c r="H5">
        <v>21</v>
      </c>
      <c r="I5">
        <v>1.28</v>
      </c>
      <c r="J5">
        <v>25</v>
      </c>
      <c r="K5">
        <v>20</v>
      </c>
      <c r="L5" s="5">
        <v>45778</v>
      </c>
    </row>
    <row r="6" spans="1:18">
      <c r="A6" t="s">
        <v>19</v>
      </c>
      <c r="B6" t="s">
        <v>13</v>
      </c>
      <c r="C6" t="s">
        <v>14</v>
      </c>
      <c r="D6" t="s">
        <v>20</v>
      </c>
      <c r="E6" s="2">
        <v>442.76</v>
      </c>
      <c r="F6" s="3">
        <v>66</v>
      </c>
      <c r="G6" s="4">
        <v>21</v>
      </c>
      <c r="H6">
        <v>10</v>
      </c>
      <c r="I6">
        <v>1.28</v>
      </c>
      <c r="J6">
        <v>40</v>
      </c>
      <c r="K6">
        <v>40</v>
      </c>
      <c r="L6" s="5">
        <v>45996</v>
      </c>
    </row>
    <row r="7" spans="1:18">
      <c r="A7" t="s">
        <v>21</v>
      </c>
      <c r="B7" t="s">
        <v>13</v>
      </c>
      <c r="C7" t="s">
        <v>14</v>
      </c>
      <c r="D7" t="s">
        <v>20</v>
      </c>
      <c r="E7" s="2">
        <v>400.36</v>
      </c>
      <c r="F7" s="3">
        <v>127</v>
      </c>
      <c r="G7" s="4">
        <v>21.6</v>
      </c>
      <c r="H7">
        <v>14</v>
      </c>
      <c r="I7">
        <v>1.28</v>
      </c>
      <c r="J7">
        <v>30</v>
      </c>
      <c r="K7">
        <v>0</v>
      </c>
      <c r="L7" s="5">
        <v>45992</v>
      </c>
    </row>
    <row r="8" spans="1:18">
      <c r="A8" t="s">
        <v>22</v>
      </c>
      <c r="B8" t="s">
        <v>13</v>
      </c>
      <c r="C8" t="s">
        <v>14</v>
      </c>
      <c r="D8" t="s">
        <v>20</v>
      </c>
      <c r="E8" s="2">
        <v>404.1</v>
      </c>
      <c r="F8" s="3">
        <v>122</v>
      </c>
      <c r="G8" s="4">
        <v>20.6</v>
      </c>
      <c r="H8">
        <v>21</v>
      </c>
      <c r="I8">
        <v>1.55</v>
      </c>
      <c r="J8">
        <v>40</v>
      </c>
      <c r="K8">
        <v>10</v>
      </c>
      <c r="L8" s="5">
        <v>45870</v>
      </c>
    </row>
    <row r="9" spans="1:18">
      <c r="A9" t="s">
        <v>23</v>
      </c>
      <c r="B9" t="s">
        <v>13</v>
      </c>
      <c r="C9" t="s">
        <v>14</v>
      </c>
      <c r="D9" t="s">
        <v>20</v>
      </c>
      <c r="E9" s="2">
        <v>439.48</v>
      </c>
      <c r="F9" s="3">
        <v>78</v>
      </c>
      <c r="G9" s="4">
        <v>20.7</v>
      </c>
      <c r="H9">
        <v>10</v>
      </c>
      <c r="I9">
        <v>1.4</v>
      </c>
      <c r="J9">
        <v>20</v>
      </c>
      <c r="K9">
        <v>0</v>
      </c>
      <c r="L9" s="5">
        <v>45931</v>
      </c>
    </row>
    <row r="10" spans="1:18">
      <c r="A10" t="s">
        <v>24</v>
      </c>
      <c r="B10" t="s">
        <v>13</v>
      </c>
      <c r="C10" t="s">
        <v>14</v>
      </c>
      <c r="D10" t="s">
        <v>25</v>
      </c>
      <c r="E10" s="2">
        <v>431.4</v>
      </c>
      <c r="F10" s="3">
        <v>104</v>
      </c>
      <c r="G10" s="4">
        <v>20.6</v>
      </c>
      <c r="H10">
        <v>14</v>
      </c>
      <c r="I10">
        <v>1.28</v>
      </c>
      <c r="J10">
        <v>20</v>
      </c>
      <c r="K10">
        <v>10</v>
      </c>
      <c r="L10" s="5">
        <v>46006</v>
      </c>
    </row>
    <row r="11" spans="1:18">
      <c r="A11" t="s">
        <v>26</v>
      </c>
      <c r="B11" t="s">
        <v>13</v>
      </c>
      <c r="C11" t="s">
        <v>14</v>
      </c>
      <c r="D11" t="s">
        <v>25</v>
      </c>
      <c r="E11" s="2">
        <v>439.42</v>
      </c>
      <c r="F11" s="3">
        <v>155</v>
      </c>
      <c r="G11" s="4">
        <v>22.4</v>
      </c>
      <c r="H11">
        <v>7</v>
      </c>
      <c r="I11">
        <v>1.4</v>
      </c>
      <c r="J11">
        <v>20</v>
      </c>
      <c r="K11">
        <v>40</v>
      </c>
      <c r="L11" s="5">
        <v>45813</v>
      </c>
    </row>
    <row r="12" spans="1:18">
      <c r="A12" t="s">
        <v>27</v>
      </c>
      <c r="B12" t="s">
        <v>13</v>
      </c>
      <c r="C12" t="s">
        <v>14</v>
      </c>
      <c r="D12" t="s">
        <v>25</v>
      </c>
      <c r="E12" s="2">
        <v>399.91</v>
      </c>
      <c r="F12" s="3">
        <v>104</v>
      </c>
      <c r="G12" s="4">
        <v>19.8</v>
      </c>
      <c r="H12">
        <v>10</v>
      </c>
      <c r="I12">
        <v>1.55</v>
      </c>
      <c r="J12">
        <v>20</v>
      </c>
      <c r="K12">
        <v>30</v>
      </c>
      <c r="L12" s="5">
        <v>45910</v>
      </c>
    </row>
    <row r="13" spans="1:18">
      <c r="A13" t="s">
        <v>28</v>
      </c>
      <c r="B13" t="s">
        <v>13</v>
      </c>
      <c r="C13" t="s">
        <v>14</v>
      </c>
      <c r="D13" t="s">
        <v>25</v>
      </c>
      <c r="E13" s="2">
        <v>452.35</v>
      </c>
      <c r="F13" s="3">
        <v>114</v>
      </c>
      <c r="G13" s="4">
        <v>21.9</v>
      </c>
      <c r="H13">
        <v>21</v>
      </c>
      <c r="I13">
        <v>1.1499999999999999</v>
      </c>
      <c r="J13">
        <v>20</v>
      </c>
      <c r="K13">
        <v>40</v>
      </c>
      <c r="L13" s="5">
        <v>45992</v>
      </c>
    </row>
    <row r="14" spans="1:18">
      <c r="A14" t="s">
        <v>29</v>
      </c>
      <c r="B14" t="s">
        <v>30</v>
      </c>
      <c r="C14" t="s">
        <v>31</v>
      </c>
      <c r="D14" t="s">
        <v>15</v>
      </c>
      <c r="E14" s="2">
        <v>278.62</v>
      </c>
      <c r="F14" s="3">
        <v>59</v>
      </c>
      <c r="G14" s="4">
        <v>19.399999999999999</v>
      </c>
      <c r="H14">
        <v>18</v>
      </c>
      <c r="I14">
        <v>1.4</v>
      </c>
      <c r="J14">
        <v>25</v>
      </c>
      <c r="K14">
        <v>20</v>
      </c>
      <c r="L14" s="5">
        <v>45915</v>
      </c>
    </row>
    <row r="15" spans="1:18">
      <c r="A15" t="s">
        <v>32</v>
      </c>
      <c r="B15" t="s">
        <v>30</v>
      </c>
      <c r="C15" t="s">
        <v>31</v>
      </c>
      <c r="D15" t="s">
        <v>15</v>
      </c>
      <c r="E15" s="2">
        <v>274.97000000000003</v>
      </c>
      <c r="F15" s="3">
        <v>108</v>
      </c>
      <c r="G15" s="4">
        <v>15.5</v>
      </c>
      <c r="H15">
        <v>7</v>
      </c>
      <c r="I15">
        <v>1.1499999999999999</v>
      </c>
      <c r="J15">
        <v>50</v>
      </c>
      <c r="K15">
        <v>0</v>
      </c>
      <c r="L15" s="5">
        <v>45905</v>
      </c>
    </row>
    <row r="16" spans="1:18">
      <c r="A16" t="s">
        <v>33</v>
      </c>
      <c r="B16" t="s">
        <v>30</v>
      </c>
      <c r="C16" t="s">
        <v>31</v>
      </c>
      <c r="D16" t="s">
        <v>15</v>
      </c>
      <c r="E16" s="2">
        <v>292.52999999999997</v>
      </c>
      <c r="F16" s="3">
        <v>98</v>
      </c>
      <c r="G16" s="4">
        <v>18.3</v>
      </c>
      <c r="H16">
        <v>21</v>
      </c>
      <c r="I16">
        <v>1.55</v>
      </c>
      <c r="J16">
        <v>25</v>
      </c>
      <c r="K16">
        <v>40</v>
      </c>
      <c r="L16" s="5">
        <v>46001</v>
      </c>
    </row>
    <row r="17" spans="1:12">
      <c r="A17" t="s">
        <v>34</v>
      </c>
      <c r="B17" t="s">
        <v>30</v>
      </c>
      <c r="C17" t="s">
        <v>31</v>
      </c>
      <c r="D17" t="s">
        <v>15</v>
      </c>
      <c r="E17" s="2">
        <v>300.07</v>
      </c>
      <c r="F17" s="3">
        <v>95</v>
      </c>
      <c r="G17" s="4">
        <v>17.8</v>
      </c>
      <c r="H17">
        <v>10</v>
      </c>
      <c r="I17">
        <v>1.4</v>
      </c>
      <c r="J17">
        <v>20</v>
      </c>
      <c r="K17">
        <v>10</v>
      </c>
      <c r="L17" s="5">
        <v>45879</v>
      </c>
    </row>
    <row r="18" spans="1:12">
      <c r="A18" t="s">
        <v>35</v>
      </c>
      <c r="B18" t="s">
        <v>30</v>
      </c>
      <c r="C18" t="s">
        <v>31</v>
      </c>
      <c r="D18" t="s">
        <v>20</v>
      </c>
      <c r="E18" s="2">
        <v>298.82</v>
      </c>
      <c r="F18" s="3">
        <v>65</v>
      </c>
      <c r="G18" s="4">
        <v>18.399999999999999</v>
      </c>
      <c r="H18">
        <v>10</v>
      </c>
      <c r="I18">
        <v>1.1499999999999999</v>
      </c>
      <c r="J18">
        <v>60</v>
      </c>
      <c r="K18">
        <v>20</v>
      </c>
      <c r="L18" s="5">
        <v>45874</v>
      </c>
    </row>
    <row r="19" spans="1:12">
      <c r="A19" t="s">
        <v>36</v>
      </c>
      <c r="B19" t="s">
        <v>30</v>
      </c>
      <c r="C19" t="s">
        <v>31</v>
      </c>
      <c r="D19" t="s">
        <v>20</v>
      </c>
      <c r="E19" s="2">
        <v>278.19</v>
      </c>
      <c r="F19" s="3">
        <v>88</v>
      </c>
      <c r="G19" s="4">
        <v>20.100000000000001</v>
      </c>
      <c r="H19">
        <v>10</v>
      </c>
      <c r="I19">
        <v>1.55</v>
      </c>
      <c r="J19">
        <v>60</v>
      </c>
      <c r="K19">
        <v>30</v>
      </c>
      <c r="L19" s="5">
        <v>45879</v>
      </c>
    </row>
    <row r="20" spans="1:12">
      <c r="A20" t="s">
        <v>37</v>
      </c>
      <c r="B20" t="s">
        <v>30</v>
      </c>
      <c r="C20" t="s">
        <v>31</v>
      </c>
      <c r="D20" t="s">
        <v>20</v>
      </c>
      <c r="E20" s="2">
        <v>300.91000000000003</v>
      </c>
      <c r="F20" s="3">
        <v>133</v>
      </c>
      <c r="G20" s="4">
        <v>19.8</v>
      </c>
      <c r="H20">
        <v>7</v>
      </c>
      <c r="I20">
        <v>1.55</v>
      </c>
      <c r="J20">
        <v>50</v>
      </c>
      <c r="K20">
        <v>10</v>
      </c>
      <c r="L20" s="5">
        <v>45920</v>
      </c>
    </row>
    <row r="21" spans="1:12">
      <c r="A21" t="s">
        <v>38</v>
      </c>
      <c r="B21" t="s">
        <v>30</v>
      </c>
      <c r="C21" t="s">
        <v>31</v>
      </c>
      <c r="D21" t="s">
        <v>20</v>
      </c>
      <c r="E21" s="2">
        <v>276.18</v>
      </c>
      <c r="F21" s="3">
        <v>62</v>
      </c>
      <c r="G21" s="4">
        <v>19.7</v>
      </c>
      <c r="H21">
        <v>14</v>
      </c>
      <c r="I21">
        <v>1.28</v>
      </c>
      <c r="J21">
        <v>40</v>
      </c>
      <c r="K21">
        <v>20</v>
      </c>
      <c r="L21" s="5">
        <v>45966</v>
      </c>
    </row>
    <row r="22" spans="1:12">
      <c r="A22" t="s">
        <v>39</v>
      </c>
      <c r="B22" t="s">
        <v>30</v>
      </c>
      <c r="C22" t="s">
        <v>31</v>
      </c>
      <c r="D22" t="s">
        <v>25</v>
      </c>
      <c r="E22" s="2">
        <v>277.94</v>
      </c>
      <c r="F22" s="3">
        <v>110</v>
      </c>
      <c r="G22" s="4">
        <v>17</v>
      </c>
      <c r="H22">
        <v>14</v>
      </c>
      <c r="I22">
        <v>1.4</v>
      </c>
      <c r="J22">
        <v>20</v>
      </c>
      <c r="K22">
        <v>0</v>
      </c>
      <c r="L22" s="5">
        <v>45889</v>
      </c>
    </row>
    <row r="23" spans="1:12">
      <c r="A23" t="s">
        <v>40</v>
      </c>
      <c r="B23" t="s">
        <v>30</v>
      </c>
      <c r="C23" t="s">
        <v>31</v>
      </c>
      <c r="D23" t="s">
        <v>25</v>
      </c>
      <c r="E23" s="2">
        <v>298.98</v>
      </c>
      <c r="F23" s="3">
        <v>77</v>
      </c>
      <c r="G23" s="4">
        <v>20.100000000000001</v>
      </c>
      <c r="H23">
        <v>18</v>
      </c>
      <c r="I23">
        <v>1.4</v>
      </c>
      <c r="J23">
        <v>60</v>
      </c>
      <c r="K23">
        <v>0</v>
      </c>
      <c r="L23" s="5">
        <v>45823</v>
      </c>
    </row>
    <row r="24" spans="1:12">
      <c r="A24" t="s">
        <v>41</v>
      </c>
      <c r="B24" t="s">
        <v>30</v>
      </c>
      <c r="C24" t="s">
        <v>31</v>
      </c>
      <c r="D24" t="s">
        <v>25</v>
      </c>
      <c r="E24" s="2">
        <v>273.95</v>
      </c>
      <c r="F24" s="3">
        <v>93</v>
      </c>
      <c r="G24" s="4">
        <v>19.7</v>
      </c>
      <c r="H24">
        <v>7</v>
      </c>
      <c r="I24">
        <v>1.1499999999999999</v>
      </c>
      <c r="J24">
        <v>30</v>
      </c>
      <c r="K24">
        <v>10</v>
      </c>
      <c r="L24" s="5">
        <v>45905</v>
      </c>
    </row>
    <row r="25" spans="1:12">
      <c r="A25" t="s">
        <v>42</v>
      </c>
      <c r="B25" t="s">
        <v>30</v>
      </c>
      <c r="C25" t="s">
        <v>31</v>
      </c>
      <c r="D25" t="s">
        <v>25</v>
      </c>
      <c r="E25" s="2">
        <v>293.68</v>
      </c>
      <c r="F25" s="3">
        <v>64</v>
      </c>
      <c r="G25" s="4">
        <v>17.5</v>
      </c>
      <c r="H25">
        <v>10</v>
      </c>
      <c r="I25">
        <v>1.28</v>
      </c>
      <c r="J25">
        <v>50</v>
      </c>
      <c r="K25">
        <v>40</v>
      </c>
      <c r="L25" s="5">
        <v>45931</v>
      </c>
    </row>
    <row r="26" spans="1:12">
      <c r="A26" t="s">
        <v>43</v>
      </c>
      <c r="B26" t="s">
        <v>44</v>
      </c>
      <c r="C26" t="s">
        <v>45</v>
      </c>
      <c r="D26" t="s">
        <v>15</v>
      </c>
      <c r="E26" s="2">
        <v>369.81</v>
      </c>
      <c r="F26" s="3">
        <v>111</v>
      </c>
      <c r="G26" s="4">
        <v>21.2</v>
      </c>
      <c r="H26">
        <v>7</v>
      </c>
      <c r="I26">
        <v>1.4</v>
      </c>
      <c r="J26">
        <v>50</v>
      </c>
      <c r="K26">
        <v>10</v>
      </c>
      <c r="L26" s="5">
        <v>46011</v>
      </c>
    </row>
    <row r="27" spans="1:12">
      <c r="A27" t="s">
        <v>46</v>
      </c>
      <c r="B27" t="s">
        <v>44</v>
      </c>
      <c r="C27" t="s">
        <v>45</v>
      </c>
      <c r="D27" t="s">
        <v>15</v>
      </c>
      <c r="E27" s="2">
        <v>385.32</v>
      </c>
      <c r="F27" s="3">
        <v>74</v>
      </c>
      <c r="G27" s="4">
        <v>18.600000000000001</v>
      </c>
      <c r="H27">
        <v>18</v>
      </c>
      <c r="I27">
        <v>1.55</v>
      </c>
      <c r="J27">
        <v>60</v>
      </c>
      <c r="K27">
        <v>0</v>
      </c>
      <c r="L27" s="5">
        <v>45962</v>
      </c>
    </row>
    <row r="28" spans="1:12">
      <c r="A28" t="s">
        <v>47</v>
      </c>
      <c r="B28" t="s">
        <v>44</v>
      </c>
      <c r="C28" t="s">
        <v>45</v>
      </c>
      <c r="D28" t="s">
        <v>15</v>
      </c>
      <c r="E28" s="2">
        <v>378.63</v>
      </c>
      <c r="F28" s="3">
        <v>126</v>
      </c>
      <c r="G28" s="4">
        <v>18.5</v>
      </c>
      <c r="H28">
        <v>28</v>
      </c>
      <c r="I28">
        <v>1.28</v>
      </c>
      <c r="J28">
        <v>20</v>
      </c>
      <c r="K28">
        <v>20</v>
      </c>
      <c r="L28" s="5">
        <v>45940</v>
      </c>
    </row>
    <row r="29" spans="1:12">
      <c r="A29" t="s">
        <v>48</v>
      </c>
      <c r="B29" t="s">
        <v>44</v>
      </c>
      <c r="C29" t="s">
        <v>45</v>
      </c>
      <c r="D29" t="s">
        <v>15</v>
      </c>
      <c r="E29" s="2">
        <v>387.83</v>
      </c>
      <c r="F29" s="3">
        <v>137</v>
      </c>
      <c r="G29" s="4">
        <v>21.8</v>
      </c>
      <c r="H29">
        <v>7</v>
      </c>
      <c r="I29">
        <v>1.4</v>
      </c>
      <c r="J29">
        <v>25</v>
      </c>
      <c r="K29">
        <v>20</v>
      </c>
      <c r="L29" s="5">
        <v>45839</v>
      </c>
    </row>
    <row r="30" spans="1:12">
      <c r="A30" t="s">
        <v>49</v>
      </c>
      <c r="B30" t="s">
        <v>44</v>
      </c>
      <c r="C30" t="s">
        <v>45</v>
      </c>
      <c r="D30" t="s">
        <v>20</v>
      </c>
      <c r="E30" s="2">
        <v>349</v>
      </c>
      <c r="F30" s="3">
        <v>150</v>
      </c>
      <c r="G30" s="4">
        <v>21.8</v>
      </c>
      <c r="H30">
        <v>18</v>
      </c>
      <c r="I30">
        <v>1.28</v>
      </c>
      <c r="J30">
        <v>50</v>
      </c>
      <c r="K30">
        <v>30</v>
      </c>
      <c r="L30" s="5">
        <v>45839</v>
      </c>
    </row>
    <row r="31" spans="1:12">
      <c r="A31" t="s">
        <v>50</v>
      </c>
      <c r="B31" t="s">
        <v>44</v>
      </c>
      <c r="C31" t="s">
        <v>45</v>
      </c>
      <c r="D31" t="s">
        <v>20</v>
      </c>
      <c r="E31" s="2">
        <v>332.53</v>
      </c>
      <c r="F31" s="3">
        <v>140</v>
      </c>
      <c r="G31" s="4">
        <v>21.8</v>
      </c>
      <c r="H31">
        <v>18</v>
      </c>
      <c r="I31">
        <v>1.4</v>
      </c>
      <c r="J31">
        <v>40</v>
      </c>
      <c r="K31">
        <v>40</v>
      </c>
      <c r="L31" s="5">
        <v>45787</v>
      </c>
    </row>
    <row r="32" spans="1:12">
      <c r="A32" t="s">
        <v>51</v>
      </c>
      <c r="B32" t="s">
        <v>44</v>
      </c>
      <c r="C32" t="s">
        <v>45</v>
      </c>
      <c r="D32" t="s">
        <v>20</v>
      </c>
      <c r="E32" s="2">
        <v>344.74</v>
      </c>
      <c r="F32" s="3">
        <v>166</v>
      </c>
      <c r="G32" s="4">
        <v>23</v>
      </c>
      <c r="H32">
        <v>18</v>
      </c>
      <c r="I32">
        <v>1.4</v>
      </c>
      <c r="J32">
        <v>20</v>
      </c>
      <c r="K32">
        <v>20</v>
      </c>
      <c r="L32" s="5">
        <v>45950</v>
      </c>
    </row>
    <row r="33" spans="1:12">
      <c r="A33" t="s">
        <v>52</v>
      </c>
      <c r="B33" t="s">
        <v>44</v>
      </c>
      <c r="C33" t="s">
        <v>45</v>
      </c>
      <c r="D33" t="s">
        <v>20</v>
      </c>
      <c r="E33" s="2">
        <v>353.61</v>
      </c>
      <c r="F33" s="3">
        <v>136</v>
      </c>
      <c r="G33" s="4">
        <v>19.5</v>
      </c>
      <c r="H33">
        <v>7</v>
      </c>
      <c r="I33">
        <v>1.55</v>
      </c>
      <c r="J33">
        <v>20</v>
      </c>
      <c r="K33">
        <v>20</v>
      </c>
      <c r="L33" s="5">
        <v>46006</v>
      </c>
    </row>
    <row r="34" spans="1:12">
      <c r="A34" t="s">
        <v>53</v>
      </c>
      <c r="B34" t="s">
        <v>44</v>
      </c>
      <c r="C34" t="s">
        <v>45</v>
      </c>
      <c r="D34" t="s">
        <v>25</v>
      </c>
      <c r="E34" s="2">
        <v>339.03</v>
      </c>
      <c r="F34" s="3">
        <v>93</v>
      </c>
      <c r="G34" s="4">
        <v>22.8</v>
      </c>
      <c r="H34">
        <v>28</v>
      </c>
      <c r="I34">
        <v>1.4</v>
      </c>
      <c r="J34">
        <v>40</v>
      </c>
      <c r="K34">
        <v>10</v>
      </c>
      <c r="L34" s="5">
        <v>45823</v>
      </c>
    </row>
    <row r="35" spans="1:12">
      <c r="A35" t="s">
        <v>54</v>
      </c>
      <c r="B35" t="s">
        <v>44</v>
      </c>
      <c r="C35" t="s">
        <v>45</v>
      </c>
      <c r="D35" t="s">
        <v>25</v>
      </c>
      <c r="E35" s="2">
        <v>334.42</v>
      </c>
      <c r="F35" s="3">
        <v>131</v>
      </c>
      <c r="G35" s="4">
        <v>22.2</v>
      </c>
      <c r="H35">
        <v>14</v>
      </c>
      <c r="I35">
        <v>1.28</v>
      </c>
      <c r="J35">
        <v>25</v>
      </c>
      <c r="K35">
        <v>20</v>
      </c>
      <c r="L35" s="5">
        <v>45879</v>
      </c>
    </row>
    <row r="36" spans="1:12">
      <c r="A36" t="s">
        <v>55</v>
      </c>
      <c r="B36" t="s">
        <v>44</v>
      </c>
      <c r="C36" t="s">
        <v>45</v>
      </c>
      <c r="D36" t="s">
        <v>25</v>
      </c>
      <c r="E36" s="2">
        <v>350.84</v>
      </c>
      <c r="F36" s="3">
        <v>130</v>
      </c>
      <c r="G36" s="4">
        <v>22.8</v>
      </c>
      <c r="H36">
        <v>18</v>
      </c>
      <c r="I36">
        <v>1.4</v>
      </c>
      <c r="J36">
        <v>30</v>
      </c>
      <c r="K36">
        <v>40</v>
      </c>
      <c r="L36" s="5">
        <v>45971</v>
      </c>
    </row>
    <row r="37" spans="1:12">
      <c r="A37" t="s">
        <v>56</v>
      </c>
      <c r="B37" t="s">
        <v>44</v>
      </c>
      <c r="C37" t="s">
        <v>45</v>
      </c>
      <c r="D37" t="s">
        <v>25</v>
      </c>
      <c r="E37" s="2">
        <v>335.18</v>
      </c>
      <c r="F37" s="3">
        <v>134</v>
      </c>
      <c r="G37" s="4">
        <v>20.9</v>
      </c>
      <c r="H37">
        <v>14</v>
      </c>
      <c r="I37">
        <v>1.28</v>
      </c>
      <c r="J37">
        <v>20</v>
      </c>
      <c r="K37">
        <v>0</v>
      </c>
      <c r="L37" s="5">
        <v>45910</v>
      </c>
    </row>
    <row r="38" spans="1:12">
      <c r="A38" t="s">
        <v>57</v>
      </c>
      <c r="B38" t="s">
        <v>58</v>
      </c>
      <c r="C38" t="s">
        <v>59</v>
      </c>
      <c r="D38" t="s">
        <v>15</v>
      </c>
      <c r="E38" s="2">
        <v>43.11</v>
      </c>
      <c r="F38" s="3">
        <v>118</v>
      </c>
      <c r="G38" s="4">
        <v>34.5</v>
      </c>
      <c r="H38">
        <v>10</v>
      </c>
      <c r="I38">
        <v>1.1499999999999999</v>
      </c>
      <c r="J38">
        <v>50</v>
      </c>
      <c r="K38">
        <v>30</v>
      </c>
      <c r="L38" s="5">
        <v>46006</v>
      </c>
    </row>
    <row r="39" spans="1:12">
      <c r="A39" t="s">
        <v>60</v>
      </c>
      <c r="B39" t="s">
        <v>58</v>
      </c>
      <c r="C39" t="s">
        <v>59</v>
      </c>
      <c r="D39" t="s">
        <v>15</v>
      </c>
      <c r="E39" s="2">
        <v>41.01</v>
      </c>
      <c r="F39" s="3">
        <v>154</v>
      </c>
      <c r="G39" s="4">
        <v>37</v>
      </c>
      <c r="H39">
        <v>18</v>
      </c>
      <c r="I39">
        <v>1.28</v>
      </c>
      <c r="J39">
        <v>20</v>
      </c>
      <c r="K39">
        <v>10</v>
      </c>
      <c r="L39" s="5">
        <v>45940</v>
      </c>
    </row>
    <row r="40" spans="1:12">
      <c r="A40" t="s">
        <v>61</v>
      </c>
      <c r="B40" t="s">
        <v>58</v>
      </c>
      <c r="C40" t="s">
        <v>59</v>
      </c>
      <c r="D40" t="s">
        <v>15</v>
      </c>
      <c r="E40" s="2">
        <v>42.33</v>
      </c>
      <c r="F40" s="3">
        <v>201</v>
      </c>
      <c r="G40" s="4">
        <v>37.9</v>
      </c>
      <c r="H40">
        <v>7</v>
      </c>
      <c r="I40">
        <v>1.28</v>
      </c>
      <c r="J40">
        <v>50</v>
      </c>
      <c r="K40">
        <v>30</v>
      </c>
      <c r="L40" s="5">
        <v>45848</v>
      </c>
    </row>
    <row r="41" spans="1:12">
      <c r="A41" t="s">
        <v>62</v>
      </c>
      <c r="B41" t="s">
        <v>58</v>
      </c>
      <c r="C41" t="s">
        <v>59</v>
      </c>
      <c r="D41" t="s">
        <v>15</v>
      </c>
      <c r="E41" s="2">
        <v>39.58</v>
      </c>
      <c r="F41" s="3">
        <v>146</v>
      </c>
      <c r="G41" s="4">
        <v>32.9</v>
      </c>
      <c r="H41">
        <v>18</v>
      </c>
      <c r="I41">
        <v>1.55</v>
      </c>
      <c r="J41">
        <v>50</v>
      </c>
      <c r="K41">
        <v>30</v>
      </c>
      <c r="L41" s="5">
        <v>45901</v>
      </c>
    </row>
    <row r="42" spans="1:12">
      <c r="A42" t="s">
        <v>63</v>
      </c>
      <c r="B42" t="s">
        <v>58</v>
      </c>
      <c r="C42" t="s">
        <v>59</v>
      </c>
      <c r="D42" t="s">
        <v>20</v>
      </c>
      <c r="E42" s="2">
        <v>42.98</v>
      </c>
      <c r="F42" s="3">
        <v>231</v>
      </c>
      <c r="G42" s="4">
        <v>31.5</v>
      </c>
      <c r="H42">
        <v>28</v>
      </c>
      <c r="I42">
        <v>1.28</v>
      </c>
      <c r="J42">
        <v>40</v>
      </c>
      <c r="K42">
        <v>40</v>
      </c>
      <c r="L42" s="5">
        <v>45853</v>
      </c>
    </row>
    <row r="43" spans="1:12">
      <c r="A43" t="s">
        <v>64</v>
      </c>
      <c r="B43" t="s">
        <v>58</v>
      </c>
      <c r="C43" t="s">
        <v>59</v>
      </c>
      <c r="D43" t="s">
        <v>20</v>
      </c>
      <c r="E43" s="2">
        <v>41.69</v>
      </c>
      <c r="F43" s="3">
        <v>220</v>
      </c>
      <c r="G43" s="4">
        <v>31.6</v>
      </c>
      <c r="H43">
        <v>18</v>
      </c>
      <c r="I43">
        <v>1.28</v>
      </c>
      <c r="J43">
        <v>60</v>
      </c>
      <c r="K43">
        <v>10</v>
      </c>
      <c r="L43" s="5">
        <v>45976</v>
      </c>
    </row>
    <row r="44" spans="1:12">
      <c r="A44" t="s">
        <v>65</v>
      </c>
      <c r="B44" t="s">
        <v>58</v>
      </c>
      <c r="C44" t="s">
        <v>59</v>
      </c>
      <c r="D44" t="s">
        <v>20</v>
      </c>
      <c r="E44" s="2">
        <v>44.67</v>
      </c>
      <c r="F44" s="3">
        <v>179</v>
      </c>
      <c r="G44" s="4">
        <v>38.4</v>
      </c>
      <c r="H44">
        <v>14</v>
      </c>
      <c r="I44">
        <v>1.1499999999999999</v>
      </c>
      <c r="J44">
        <v>40</v>
      </c>
      <c r="K44">
        <v>0</v>
      </c>
      <c r="L44" s="5">
        <v>45853</v>
      </c>
    </row>
    <row r="45" spans="1:12">
      <c r="A45" t="s">
        <v>66</v>
      </c>
      <c r="B45" t="s">
        <v>58</v>
      </c>
      <c r="C45" t="s">
        <v>59</v>
      </c>
      <c r="D45" t="s">
        <v>20</v>
      </c>
      <c r="E45" s="2">
        <v>44.4</v>
      </c>
      <c r="F45" s="3">
        <v>160</v>
      </c>
      <c r="G45" s="4">
        <v>31.5</v>
      </c>
      <c r="H45">
        <v>28</v>
      </c>
      <c r="I45">
        <v>1.1499999999999999</v>
      </c>
      <c r="J45">
        <v>60</v>
      </c>
      <c r="K45">
        <v>20</v>
      </c>
      <c r="L45" s="5">
        <v>45935</v>
      </c>
    </row>
    <row r="46" spans="1:12">
      <c r="A46" t="s">
        <v>67</v>
      </c>
      <c r="B46" t="s">
        <v>58</v>
      </c>
      <c r="C46" t="s">
        <v>59</v>
      </c>
      <c r="D46" t="s">
        <v>25</v>
      </c>
      <c r="E46" s="2">
        <v>43.93</v>
      </c>
      <c r="F46" s="3">
        <v>100</v>
      </c>
      <c r="G46" s="4">
        <v>30.5</v>
      </c>
      <c r="H46">
        <v>28</v>
      </c>
      <c r="I46">
        <v>1.4</v>
      </c>
      <c r="J46">
        <v>25</v>
      </c>
      <c r="K46">
        <v>0</v>
      </c>
      <c r="L46" s="5">
        <v>45787</v>
      </c>
    </row>
    <row r="47" spans="1:12">
      <c r="A47" t="s">
        <v>68</v>
      </c>
      <c r="B47" t="s">
        <v>58</v>
      </c>
      <c r="C47" t="s">
        <v>59</v>
      </c>
      <c r="D47" t="s">
        <v>25</v>
      </c>
      <c r="E47" s="2">
        <v>42.45</v>
      </c>
      <c r="F47" s="3">
        <v>140</v>
      </c>
      <c r="G47" s="4">
        <v>32.200000000000003</v>
      </c>
      <c r="H47">
        <v>14</v>
      </c>
      <c r="I47">
        <v>1.55</v>
      </c>
      <c r="J47">
        <v>40</v>
      </c>
      <c r="K47">
        <v>0</v>
      </c>
      <c r="L47" s="5">
        <v>45915</v>
      </c>
    </row>
    <row r="48" spans="1:12">
      <c r="A48" t="s">
        <v>69</v>
      </c>
      <c r="B48" t="s">
        <v>58</v>
      </c>
      <c r="C48" t="s">
        <v>59</v>
      </c>
      <c r="D48" t="s">
        <v>25</v>
      </c>
      <c r="E48" s="2">
        <v>44.16</v>
      </c>
      <c r="F48" s="3">
        <v>131</v>
      </c>
      <c r="G48" s="4">
        <v>30.4</v>
      </c>
      <c r="H48">
        <v>18</v>
      </c>
      <c r="I48">
        <v>1.28</v>
      </c>
      <c r="J48">
        <v>50</v>
      </c>
      <c r="K48">
        <v>40</v>
      </c>
      <c r="L48" s="5">
        <v>45787</v>
      </c>
    </row>
    <row r="49" spans="1:12">
      <c r="A49" t="s">
        <v>70</v>
      </c>
      <c r="B49" t="s">
        <v>58</v>
      </c>
      <c r="C49" t="s">
        <v>59</v>
      </c>
      <c r="D49" t="s">
        <v>25</v>
      </c>
      <c r="E49" s="2">
        <v>39.14</v>
      </c>
      <c r="F49" s="3">
        <v>128</v>
      </c>
      <c r="G49" s="4">
        <v>31.3</v>
      </c>
      <c r="H49">
        <v>14</v>
      </c>
      <c r="I49">
        <v>1.1499999999999999</v>
      </c>
      <c r="J49">
        <v>30</v>
      </c>
      <c r="K49">
        <v>30</v>
      </c>
      <c r="L49" s="5">
        <v>46001</v>
      </c>
    </row>
    <row r="50" spans="1:12">
      <c r="A50" t="s">
        <v>71</v>
      </c>
      <c r="B50" t="s">
        <v>72</v>
      </c>
      <c r="C50" t="s">
        <v>73</v>
      </c>
      <c r="D50" t="s">
        <v>15</v>
      </c>
      <c r="E50" s="2">
        <v>175.61</v>
      </c>
      <c r="F50" s="3">
        <v>97</v>
      </c>
      <c r="G50" s="4">
        <v>15.7</v>
      </c>
      <c r="H50">
        <v>28</v>
      </c>
      <c r="I50">
        <v>1.28</v>
      </c>
      <c r="J50">
        <v>30</v>
      </c>
      <c r="K50">
        <v>40</v>
      </c>
      <c r="L50" s="5">
        <v>45874</v>
      </c>
    </row>
    <row r="51" spans="1:12">
      <c r="A51" t="s">
        <v>74</v>
      </c>
      <c r="B51" t="s">
        <v>72</v>
      </c>
      <c r="C51" t="s">
        <v>73</v>
      </c>
      <c r="D51" t="s">
        <v>15</v>
      </c>
      <c r="E51" s="2">
        <v>176.9</v>
      </c>
      <c r="F51" s="3">
        <v>85</v>
      </c>
      <c r="G51" s="4">
        <v>14.3</v>
      </c>
      <c r="H51">
        <v>28</v>
      </c>
      <c r="I51">
        <v>1.1499999999999999</v>
      </c>
      <c r="J51">
        <v>30</v>
      </c>
      <c r="K51">
        <v>20</v>
      </c>
      <c r="L51" s="5">
        <v>45879</v>
      </c>
    </row>
    <row r="52" spans="1:12">
      <c r="A52" t="s">
        <v>75</v>
      </c>
      <c r="B52" t="s">
        <v>72</v>
      </c>
      <c r="C52" t="s">
        <v>73</v>
      </c>
      <c r="D52" t="s">
        <v>15</v>
      </c>
      <c r="E52" s="2">
        <v>173.78</v>
      </c>
      <c r="F52" s="3">
        <v>64</v>
      </c>
      <c r="G52" s="4">
        <v>15</v>
      </c>
      <c r="H52">
        <v>28</v>
      </c>
      <c r="I52">
        <v>1.4</v>
      </c>
      <c r="J52">
        <v>25</v>
      </c>
      <c r="K52">
        <v>10</v>
      </c>
      <c r="L52" s="5">
        <v>45915</v>
      </c>
    </row>
    <row r="53" spans="1:12">
      <c r="A53" t="s">
        <v>76</v>
      </c>
      <c r="B53" t="s">
        <v>72</v>
      </c>
      <c r="C53" t="s">
        <v>73</v>
      </c>
      <c r="D53" t="s">
        <v>15</v>
      </c>
      <c r="E53" s="2">
        <v>170.61</v>
      </c>
      <c r="F53" s="3">
        <v>93</v>
      </c>
      <c r="G53" s="4">
        <v>16.7</v>
      </c>
      <c r="H53">
        <v>10</v>
      </c>
      <c r="I53">
        <v>1.55</v>
      </c>
      <c r="J53">
        <v>40</v>
      </c>
      <c r="K53">
        <v>40</v>
      </c>
      <c r="L53" s="5">
        <v>45778</v>
      </c>
    </row>
    <row r="54" spans="1:12">
      <c r="A54" t="s">
        <v>77</v>
      </c>
      <c r="B54" t="s">
        <v>72</v>
      </c>
      <c r="C54" t="s">
        <v>73</v>
      </c>
      <c r="D54" t="s">
        <v>20</v>
      </c>
      <c r="E54" s="2">
        <v>173.96</v>
      </c>
      <c r="F54" s="3">
        <v>51</v>
      </c>
      <c r="G54" s="4">
        <v>15.2</v>
      </c>
      <c r="H54">
        <v>21</v>
      </c>
      <c r="I54">
        <v>1.55</v>
      </c>
      <c r="J54">
        <v>40</v>
      </c>
      <c r="K54">
        <v>30</v>
      </c>
      <c r="L54" s="5">
        <v>46006</v>
      </c>
    </row>
    <row r="55" spans="1:12">
      <c r="A55" t="s">
        <v>78</v>
      </c>
      <c r="B55" t="s">
        <v>72</v>
      </c>
      <c r="C55" t="s">
        <v>73</v>
      </c>
      <c r="D55" t="s">
        <v>20</v>
      </c>
      <c r="E55" s="2">
        <v>176.38</v>
      </c>
      <c r="F55" s="3">
        <v>91</v>
      </c>
      <c r="G55" s="4">
        <v>17.3</v>
      </c>
      <c r="H55">
        <v>7</v>
      </c>
      <c r="I55">
        <v>1.1499999999999999</v>
      </c>
      <c r="J55">
        <v>25</v>
      </c>
      <c r="K55">
        <v>0</v>
      </c>
      <c r="L55" s="5">
        <v>45971</v>
      </c>
    </row>
    <row r="56" spans="1:12">
      <c r="A56" t="s">
        <v>79</v>
      </c>
      <c r="B56" t="s">
        <v>72</v>
      </c>
      <c r="C56" t="s">
        <v>73</v>
      </c>
      <c r="D56" t="s">
        <v>20</v>
      </c>
      <c r="E56" s="2">
        <v>182.09</v>
      </c>
      <c r="F56" s="3">
        <v>58</v>
      </c>
      <c r="G56" s="4">
        <v>15.5</v>
      </c>
      <c r="H56">
        <v>7</v>
      </c>
      <c r="I56">
        <v>1.55</v>
      </c>
      <c r="J56">
        <v>25</v>
      </c>
      <c r="K56">
        <v>30</v>
      </c>
      <c r="L56" s="5">
        <v>45884</v>
      </c>
    </row>
    <row r="57" spans="1:12">
      <c r="A57" t="s">
        <v>80</v>
      </c>
      <c r="B57" t="s">
        <v>72</v>
      </c>
      <c r="C57" t="s">
        <v>73</v>
      </c>
      <c r="D57" t="s">
        <v>20</v>
      </c>
      <c r="E57" s="2">
        <v>166.22</v>
      </c>
      <c r="F57" s="3">
        <v>95</v>
      </c>
      <c r="G57" s="4">
        <v>16</v>
      </c>
      <c r="H57">
        <v>10</v>
      </c>
      <c r="I57">
        <v>1.28</v>
      </c>
      <c r="J57">
        <v>50</v>
      </c>
      <c r="K57">
        <v>30</v>
      </c>
      <c r="L57" s="5">
        <v>45910</v>
      </c>
    </row>
    <row r="58" spans="1:12">
      <c r="A58" t="s">
        <v>81</v>
      </c>
      <c r="B58" t="s">
        <v>72</v>
      </c>
      <c r="C58" t="s">
        <v>73</v>
      </c>
      <c r="D58" t="s">
        <v>25</v>
      </c>
      <c r="E58" s="2">
        <v>161.99</v>
      </c>
      <c r="F58" s="3">
        <v>128</v>
      </c>
      <c r="G58" s="4">
        <v>18.100000000000001</v>
      </c>
      <c r="H58">
        <v>28</v>
      </c>
      <c r="I58">
        <v>1.1499999999999999</v>
      </c>
      <c r="J58">
        <v>20</v>
      </c>
      <c r="K58">
        <v>20</v>
      </c>
      <c r="L58" s="5">
        <v>45792</v>
      </c>
    </row>
    <row r="59" spans="1:12">
      <c r="A59" t="s">
        <v>82</v>
      </c>
      <c r="B59" t="s">
        <v>72</v>
      </c>
      <c r="C59" t="s">
        <v>73</v>
      </c>
      <c r="D59" t="s">
        <v>25</v>
      </c>
      <c r="E59" s="2">
        <v>179.81</v>
      </c>
      <c r="F59" s="3">
        <v>85</v>
      </c>
      <c r="G59" s="4">
        <v>14.1</v>
      </c>
      <c r="H59">
        <v>7</v>
      </c>
      <c r="I59">
        <v>1.55</v>
      </c>
      <c r="J59">
        <v>60</v>
      </c>
      <c r="K59">
        <v>10</v>
      </c>
      <c r="L59" s="5">
        <v>45839</v>
      </c>
    </row>
    <row r="60" spans="1:12">
      <c r="A60" t="s">
        <v>83</v>
      </c>
      <c r="B60" t="s">
        <v>72</v>
      </c>
      <c r="C60" t="s">
        <v>73</v>
      </c>
      <c r="D60" t="s">
        <v>25</v>
      </c>
      <c r="E60" s="2">
        <v>170.51</v>
      </c>
      <c r="F60" s="3">
        <v>77</v>
      </c>
      <c r="G60" s="4">
        <v>18.2</v>
      </c>
      <c r="H60">
        <v>21</v>
      </c>
      <c r="I60">
        <v>1.4</v>
      </c>
      <c r="J60">
        <v>30</v>
      </c>
      <c r="K60">
        <v>0</v>
      </c>
      <c r="L60" s="5">
        <v>45813</v>
      </c>
    </row>
    <row r="61" spans="1:12">
      <c r="A61" t="s">
        <v>84</v>
      </c>
      <c r="B61" t="s">
        <v>72</v>
      </c>
      <c r="C61" t="s">
        <v>73</v>
      </c>
      <c r="D61" t="s">
        <v>25</v>
      </c>
      <c r="E61" s="2">
        <v>168.09</v>
      </c>
      <c r="F61" s="3">
        <v>45</v>
      </c>
      <c r="G61" s="4">
        <v>13.9</v>
      </c>
      <c r="H61">
        <v>28</v>
      </c>
      <c r="I61">
        <v>1.28</v>
      </c>
      <c r="J61">
        <v>40</v>
      </c>
      <c r="K61">
        <v>30</v>
      </c>
      <c r="L61" s="5">
        <v>45996</v>
      </c>
    </row>
    <row r="62" spans="1:12">
      <c r="A62" t="s">
        <v>85</v>
      </c>
      <c r="B62" t="s">
        <v>86</v>
      </c>
      <c r="C62" t="s">
        <v>87</v>
      </c>
      <c r="D62" t="s">
        <v>15</v>
      </c>
      <c r="E62" s="2">
        <v>240.13</v>
      </c>
      <c r="F62" s="3">
        <v>88</v>
      </c>
      <c r="G62" s="4">
        <v>12.8</v>
      </c>
      <c r="H62">
        <v>21</v>
      </c>
      <c r="I62">
        <v>1.55</v>
      </c>
      <c r="J62">
        <v>50</v>
      </c>
      <c r="K62">
        <v>0</v>
      </c>
      <c r="L62" s="5">
        <v>45797</v>
      </c>
    </row>
    <row r="63" spans="1:12">
      <c r="A63" t="s">
        <v>88</v>
      </c>
      <c r="B63" t="s">
        <v>86</v>
      </c>
      <c r="C63" t="s">
        <v>87</v>
      </c>
      <c r="D63" t="s">
        <v>15</v>
      </c>
      <c r="E63" s="2">
        <v>237.96</v>
      </c>
      <c r="F63" s="3">
        <v>37</v>
      </c>
      <c r="G63" s="4">
        <v>11.1</v>
      </c>
      <c r="H63">
        <v>18</v>
      </c>
      <c r="I63">
        <v>1.1499999999999999</v>
      </c>
      <c r="J63">
        <v>20</v>
      </c>
      <c r="K63">
        <v>0</v>
      </c>
      <c r="L63" s="5">
        <v>45945</v>
      </c>
    </row>
    <row r="64" spans="1:12">
      <c r="A64" t="s">
        <v>89</v>
      </c>
      <c r="B64" t="s">
        <v>86</v>
      </c>
      <c r="C64" t="s">
        <v>87</v>
      </c>
      <c r="D64" t="s">
        <v>15</v>
      </c>
      <c r="E64" s="2">
        <v>261.24</v>
      </c>
      <c r="F64" s="3">
        <v>92</v>
      </c>
      <c r="G64" s="4">
        <v>13.8</v>
      </c>
      <c r="H64">
        <v>14</v>
      </c>
      <c r="I64">
        <v>1.1499999999999999</v>
      </c>
      <c r="J64">
        <v>30</v>
      </c>
      <c r="K64">
        <v>0</v>
      </c>
      <c r="L64" s="5">
        <v>45853</v>
      </c>
    </row>
    <row r="65" spans="1:12">
      <c r="A65" t="s">
        <v>90</v>
      </c>
      <c r="B65" t="s">
        <v>86</v>
      </c>
      <c r="C65" t="s">
        <v>87</v>
      </c>
      <c r="D65" t="s">
        <v>15</v>
      </c>
      <c r="E65" s="2">
        <v>263.75</v>
      </c>
      <c r="F65" s="3">
        <v>69</v>
      </c>
      <c r="G65" s="4">
        <v>13.4</v>
      </c>
      <c r="H65">
        <v>18</v>
      </c>
      <c r="I65">
        <v>1.28</v>
      </c>
      <c r="J65">
        <v>60</v>
      </c>
      <c r="K65">
        <v>40</v>
      </c>
      <c r="L65" s="5">
        <v>45889</v>
      </c>
    </row>
    <row r="66" spans="1:12">
      <c r="A66" t="s">
        <v>91</v>
      </c>
      <c r="B66" t="s">
        <v>86</v>
      </c>
      <c r="C66" t="s">
        <v>87</v>
      </c>
      <c r="D66" t="s">
        <v>20</v>
      </c>
      <c r="E66" s="2">
        <v>250.89</v>
      </c>
      <c r="F66" s="3">
        <v>70</v>
      </c>
      <c r="G66" s="4">
        <v>13.2</v>
      </c>
      <c r="H66">
        <v>7</v>
      </c>
      <c r="I66">
        <v>1.4</v>
      </c>
      <c r="J66">
        <v>50</v>
      </c>
      <c r="K66">
        <v>30</v>
      </c>
      <c r="L66" s="5">
        <v>45874</v>
      </c>
    </row>
    <row r="67" spans="1:12">
      <c r="A67" t="s">
        <v>92</v>
      </c>
      <c r="B67" t="s">
        <v>86</v>
      </c>
      <c r="C67" t="s">
        <v>87</v>
      </c>
      <c r="D67" t="s">
        <v>20</v>
      </c>
      <c r="E67" s="2">
        <v>232.26</v>
      </c>
      <c r="F67" s="3">
        <v>73</v>
      </c>
      <c r="G67" s="4">
        <v>13.5</v>
      </c>
      <c r="H67">
        <v>21</v>
      </c>
      <c r="I67">
        <v>1.1499999999999999</v>
      </c>
      <c r="J67">
        <v>60</v>
      </c>
      <c r="K67">
        <v>40</v>
      </c>
      <c r="L67" s="5">
        <v>45931</v>
      </c>
    </row>
    <row r="68" spans="1:12">
      <c r="A68" t="s">
        <v>93</v>
      </c>
      <c r="B68" t="s">
        <v>86</v>
      </c>
      <c r="C68" t="s">
        <v>87</v>
      </c>
      <c r="D68" t="s">
        <v>20</v>
      </c>
      <c r="E68" s="2">
        <v>260.18</v>
      </c>
      <c r="F68" s="3">
        <v>65</v>
      </c>
      <c r="G68" s="4">
        <v>11.9</v>
      </c>
      <c r="H68">
        <v>21</v>
      </c>
      <c r="I68">
        <v>1.4</v>
      </c>
      <c r="J68">
        <v>60</v>
      </c>
      <c r="K68">
        <v>20</v>
      </c>
      <c r="L68" s="5">
        <v>45931</v>
      </c>
    </row>
    <row r="69" spans="1:12">
      <c r="A69" t="s">
        <v>94</v>
      </c>
      <c r="B69" t="s">
        <v>86</v>
      </c>
      <c r="C69" t="s">
        <v>87</v>
      </c>
      <c r="D69" t="s">
        <v>20</v>
      </c>
      <c r="E69" s="2">
        <v>245.39</v>
      </c>
      <c r="F69" s="3">
        <v>69</v>
      </c>
      <c r="G69" s="4">
        <v>10.4</v>
      </c>
      <c r="H69">
        <v>14</v>
      </c>
      <c r="I69">
        <v>1.1499999999999999</v>
      </c>
      <c r="J69">
        <v>25</v>
      </c>
      <c r="K69">
        <v>0</v>
      </c>
      <c r="L69" s="5">
        <v>45823</v>
      </c>
    </row>
    <row r="70" spans="1:12">
      <c r="A70" t="s">
        <v>95</v>
      </c>
      <c r="B70" t="s">
        <v>86</v>
      </c>
      <c r="C70" t="s">
        <v>87</v>
      </c>
      <c r="D70" t="s">
        <v>25</v>
      </c>
      <c r="E70" s="2">
        <v>235.35</v>
      </c>
      <c r="F70" s="3">
        <v>86</v>
      </c>
      <c r="G70" s="4">
        <v>13</v>
      </c>
      <c r="H70">
        <v>28</v>
      </c>
      <c r="I70">
        <v>1.4</v>
      </c>
      <c r="J70">
        <v>50</v>
      </c>
      <c r="K70">
        <v>40</v>
      </c>
      <c r="L70" s="5">
        <v>45931</v>
      </c>
    </row>
    <row r="71" spans="1:12">
      <c r="A71" t="s">
        <v>96</v>
      </c>
      <c r="B71" t="s">
        <v>86</v>
      </c>
      <c r="C71" t="s">
        <v>87</v>
      </c>
      <c r="D71" t="s">
        <v>25</v>
      </c>
      <c r="E71" s="2">
        <v>262.83999999999997</v>
      </c>
      <c r="F71" s="3">
        <v>48</v>
      </c>
      <c r="G71" s="4">
        <v>11.1</v>
      </c>
      <c r="H71">
        <v>14</v>
      </c>
      <c r="I71">
        <v>1.55</v>
      </c>
      <c r="J71">
        <v>40</v>
      </c>
      <c r="K71">
        <v>30</v>
      </c>
      <c r="L71" s="5">
        <v>45935</v>
      </c>
    </row>
    <row r="72" spans="1:12">
      <c r="A72" t="s">
        <v>97</v>
      </c>
      <c r="B72" t="s">
        <v>86</v>
      </c>
      <c r="C72" t="s">
        <v>87</v>
      </c>
      <c r="D72" t="s">
        <v>25</v>
      </c>
      <c r="E72" s="2">
        <v>265.49</v>
      </c>
      <c r="F72" s="3">
        <v>48</v>
      </c>
      <c r="G72" s="4">
        <v>10.9</v>
      </c>
      <c r="H72">
        <v>28</v>
      </c>
      <c r="I72">
        <v>1.55</v>
      </c>
      <c r="J72">
        <v>50</v>
      </c>
      <c r="K72">
        <v>40</v>
      </c>
      <c r="L72" s="5">
        <v>45920</v>
      </c>
    </row>
    <row r="73" spans="1:12">
      <c r="A73" t="s">
        <v>98</v>
      </c>
      <c r="B73" t="s">
        <v>86</v>
      </c>
      <c r="C73" t="s">
        <v>87</v>
      </c>
      <c r="D73" t="s">
        <v>25</v>
      </c>
      <c r="E73" s="2">
        <v>235.67</v>
      </c>
      <c r="F73" s="3">
        <v>43</v>
      </c>
      <c r="G73" s="4">
        <v>13.1</v>
      </c>
      <c r="H73">
        <v>10</v>
      </c>
      <c r="I73">
        <v>1.55</v>
      </c>
      <c r="J73">
        <v>60</v>
      </c>
      <c r="K73">
        <v>40</v>
      </c>
      <c r="L73" s="5">
        <v>45797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77"/>
  <sheetViews>
    <sheetView workbookViewId="0"/>
  </sheetViews>
  <sheetFormatPr defaultRowHeight="14.25"/>
  <cols>
    <col min="1" max="1" width="7.875" customWidth="1"/>
    <col min="2" max="2" width="16.875" customWidth="1"/>
    <col min="3" max="3" width="18" customWidth="1"/>
    <col min="4" max="4" width="16" customWidth="1"/>
    <col min="5" max="5" width="13.375" customWidth="1"/>
    <col min="6" max="6" width="17.125" customWidth="1"/>
  </cols>
  <sheetData>
    <row r="1" spans="1:18" ht="15">
      <c r="A1" s="37" t="s">
        <v>99</v>
      </c>
      <c r="B1" s="37" t="s">
        <v>0</v>
      </c>
      <c r="C1" s="37" t="s">
        <v>3</v>
      </c>
      <c r="D1" s="37" t="s">
        <v>100</v>
      </c>
      <c r="E1" s="37" t="s">
        <v>101</v>
      </c>
      <c r="F1" s="37" t="s">
        <v>102</v>
      </c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>
      <c r="A2" s="38">
        <v>45658</v>
      </c>
      <c r="B2" s="23" t="s">
        <v>12</v>
      </c>
      <c r="C2" s="23" t="s">
        <v>15</v>
      </c>
      <c r="D2" s="34">
        <v>65</v>
      </c>
      <c r="E2" s="34">
        <v>76</v>
      </c>
      <c r="F2" s="34">
        <v>-11</v>
      </c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>
      <c r="A3" s="38">
        <v>45658</v>
      </c>
      <c r="B3" s="23" t="s">
        <v>16</v>
      </c>
      <c r="C3" s="23" t="s">
        <v>15</v>
      </c>
      <c r="D3" s="34">
        <v>112</v>
      </c>
      <c r="E3" s="34">
        <v>91</v>
      </c>
      <c r="F3" s="34">
        <v>21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>
      <c r="A4" s="7">
        <v>45658</v>
      </c>
      <c r="B4" t="s">
        <v>17</v>
      </c>
      <c r="C4" t="s">
        <v>15</v>
      </c>
      <c r="D4" s="3">
        <v>123</v>
      </c>
      <c r="E4" s="3">
        <v>95</v>
      </c>
      <c r="F4" s="3">
        <v>28</v>
      </c>
    </row>
    <row r="5" spans="1:18">
      <c r="A5" s="7">
        <v>45658</v>
      </c>
      <c r="B5" t="s">
        <v>18</v>
      </c>
      <c r="C5" t="s">
        <v>15</v>
      </c>
      <c r="D5" s="3">
        <v>116</v>
      </c>
      <c r="E5" s="3">
        <v>85</v>
      </c>
      <c r="F5" s="3">
        <v>31</v>
      </c>
    </row>
    <row r="6" spans="1:18">
      <c r="A6" s="7">
        <v>45658</v>
      </c>
      <c r="B6" t="s">
        <v>19</v>
      </c>
      <c r="C6" t="s">
        <v>20</v>
      </c>
      <c r="D6" s="3">
        <v>90</v>
      </c>
      <c r="E6" s="3">
        <v>90</v>
      </c>
      <c r="F6" s="3">
        <v>0</v>
      </c>
    </row>
    <row r="7" spans="1:18">
      <c r="A7" s="7">
        <v>45658</v>
      </c>
      <c r="B7" t="s">
        <v>21</v>
      </c>
      <c r="C7" t="s">
        <v>20</v>
      </c>
      <c r="D7" s="3">
        <v>109</v>
      </c>
      <c r="E7" s="3">
        <v>90</v>
      </c>
      <c r="F7" s="3">
        <v>19</v>
      </c>
    </row>
    <row r="8" spans="1:18">
      <c r="A8" s="7">
        <v>45658</v>
      </c>
      <c r="B8" t="s">
        <v>22</v>
      </c>
      <c r="C8" t="s">
        <v>20</v>
      </c>
      <c r="D8" s="3">
        <v>63</v>
      </c>
      <c r="E8" s="3">
        <v>83</v>
      </c>
      <c r="F8" s="3">
        <v>-20</v>
      </c>
    </row>
    <row r="9" spans="1:18">
      <c r="A9" s="7">
        <v>45658</v>
      </c>
      <c r="B9" t="s">
        <v>23</v>
      </c>
      <c r="C9" t="s">
        <v>20</v>
      </c>
      <c r="D9" s="3">
        <v>87</v>
      </c>
      <c r="E9" s="3">
        <v>72</v>
      </c>
      <c r="F9" s="3">
        <v>15</v>
      </c>
    </row>
    <row r="10" spans="1:18">
      <c r="A10" s="7">
        <v>45658</v>
      </c>
      <c r="B10" t="s">
        <v>24</v>
      </c>
      <c r="C10" t="s">
        <v>25</v>
      </c>
      <c r="D10" s="3">
        <v>104</v>
      </c>
      <c r="E10" s="3">
        <v>79</v>
      </c>
      <c r="F10" s="3">
        <v>25</v>
      </c>
    </row>
    <row r="11" spans="1:18">
      <c r="A11" s="7">
        <v>45658</v>
      </c>
      <c r="B11" t="s">
        <v>26</v>
      </c>
      <c r="C11" t="s">
        <v>25</v>
      </c>
      <c r="D11" s="3">
        <v>120</v>
      </c>
      <c r="E11" s="3">
        <v>88</v>
      </c>
      <c r="F11" s="3">
        <v>32</v>
      </c>
    </row>
    <row r="12" spans="1:18">
      <c r="A12" s="7">
        <v>45658</v>
      </c>
      <c r="B12" t="s">
        <v>27</v>
      </c>
      <c r="C12" t="s">
        <v>25</v>
      </c>
      <c r="D12" s="3">
        <v>108</v>
      </c>
      <c r="E12" s="3">
        <v>87</v>
      </c>
      <c r="F12" s="3">
        <v>21</v>
      </c>
    </row>
    <row r="13" spans="1:18">
      <c r="A13" s="7">
        <v>45658</v>
      </c>
      <c r="B13" t="s">
        <v>28</v>
      </c>
      <c r="C13" t="s">
        <v>25</v>
      </c>
      <c r="D13" s="3">
        <v>80</v>
      </c>
      <c r="E13" s="3">
        <v>96</v>
      </c>
      <c r="F13" s="3">
        <v>-16</v>
      </c>
    </row>
    <row r="14" spans="1:18">
      <c r="A14" s="7">
        <v>45658</v>
      </c>
      <c r="B14" t="s">
        <v>29</v>
      </c>
      <c r="C14" t="s">
        <v>15</v>
      </c>
      <c r="D14" s="3">
        <v>47</v>
      </c>
      <c r="E14" s="3">
        <v>68</v>
      </c>
      <c r="F14" s="3">
        <v>-21</v>
      </c>
    </row>
    <row r="15" spans="1:18">
      <c r="A15" s="7">
        <v>45658</v>
      </c>
      <c r="B15" t="s">
        <v>32</v>
      </c>
      <c r="C15" t="s">
        <v>15</v>
      </c>
      <c r="D15" s="3">
        <v>66</v>
      </c>
      <c r="E15" s="3">
        <v>59</v>
      </c>
      <c r="F15" s="3">
        <v>7</v>
      </c>
    </row>
    <row r="16" spans="1:18">
      <c r="A16" s="7">
        <v>45658</v>
      </c>
      <c r="B16" t="s">
        <v>33</v>
      </c>
      <c r="C16" t="s">
        <v>15</v>
      </c>
      <c r="D16" s="3">
        <v>68</v>
      </c>
      <c r="E16" s="3">
        <v>80</v>
      </c>
      <c r="F16" s="3">
        <v>-12</v>
      </c>
    </row>
    <row r="17" spans="1:6">
      <c r="A17" s="7">
        <v>45658</v>
      </c>
      <c r="B17" t="s">
        <v>34</v>
      </c>
      <c r="C17" t="s">
        <v>15</v>
      </c>
      <c r="D17" s="3">
        <v>70</v>
      </c>
      <c r="E17" s="3">
        <v>76</v>
      </c>
      <c r="F17" s="3">
        <v>-6</v>
      </c>
    </row>
    <row r="18" spans="1:6">
      <c r="A18" s="7">
        <v>45658</v>
      </c>
      <c r="B18" t="s">
        <v>35</v>
      </c>
      <c r="C18" t="s">
        <v>20</v>
      </c>
      <c r="D18" s="3">
        <v>88</v>
      </c>
      <c r="E18" s="3">
        <v>84</v>
      </c>
      <c r="F18" s="3">
        <v>4</v>
      </c>
    </row>
    <row r="19" spans="1:6">
      <c r="A19" s="7">
        <v>45658</v>
      </c>
      <c r="B19" t="s">
        <v>36</v>
      </c>
      <c r="C19" t="s">
        <v>20</v>
      </c>
      <c r="D19" s="3">
        <v>55</v>
      </c>
      <c r="E19" s="3">
        <v>92</v>
      </c>
      <c r="F19" s="3">
        <v>-37</v>
      </c>
    </row>
    <row r="20" spans="1:6">
      <c r="A20" s="7">
        <v>45658</v>
      </c>
      <c r="B20" t="s">
        <v>37</v>
      </c>
      <c r="C20" t="s">
        <v>20</v>
      </c>
      <c r="D20" s="3">
        <v>95</v>
      </c>
      <c r="E20" s="3">
        <v>74</v>
      </c>
      <c r="F20" s="3">
        <v>21</v>
      </c>
    </row>
    <row r="21" spans="1:6">
      <c r="A21" s="7">
        <v>45658</v>
      </c>
      <c r="B21" t="s">
        <v>38</v>
      </c>
      <c r="C21" t="s">
        <v>20</v>
      </c>
      <c r="D21" s="3">
        <v>53</v>
      </c>
      <c r="E21" s="3">
        <v>72</v>
      </c>
      <c r="F21" s="3">
        <v>-19</v>
      </c>
    </row>
    <row r="22" spans="1:6">
      <c r="A22" s="7">
        <v>45658</v>
      </c>
      <c r="B22" t="s">
        <v>39</v>
      </c>
      <c r="C22" t="s">
        <v>25</v>
      </c>
      <c r="D22" s="3">
        <v>46</v>
      </c>
      <c r="E22" s="3">
        <v>71</v>
      </c>
      <c r="F22" s="3">
        <v>-25</v>
      </c>
    </row>
    <row r="23" spans="1:6">
      <c r="A23" s="7">
        <v>45658</v>
      </c>
      <c r="B23" t="s">
        <v>40</v>
      </c>
      <c r="C23" t="s">
        <v>25</v>
      </c>
      <c r="D23" s="3">
        <v>112</v>
      </c>
      <c r="E23" s="3">
        <v>82</v>
      </c>
      <c r="F23" s="3">
        <v>30</v>
      </c>
    </row>
    <row r="24" spans="1:6">
      <c r="A24" s="7">
        <v>45658</v>
      </c>
      <c r="B24" t="s">
        <v>41</v>
      </c>
      <c r="C24" t="s">
        <v>25</v>
      </c>
      <c r="D24" s="3">
        <v>65</v>
      </c>
      <c r="E24" s="3">
        <v>72</v>
      </c>
      <c r="F24" s="3">
        <v>-7</v>
      </c>
    </row>
    <row r="25" spans="1:6">
      <c r="A25" s="7">
        <v>45658</v>
      </c>
      <c r="B25" t="s">
        <v>42</v>
      </c>
      <c r="C25" t="s">
        <v>25</v>
      </c>
      <c r="D25" s="3">
        <v>96</v>
      </c>
      <c r="E25" s="3">
        <v>73</v>
      </c>
      <c r="F25" s="3">
        <v>23</v>
      </c>
    </row>
    <row r="26" spans="1:6">
      <c r="A26" s="7">
        <v>45658</v>
      </c>
      <c r="B26" t="s">
        <v>43</v>
      </c>
      <c r="C26" t="s">
        <v>15</v>
      </c>
      <c r="D26" s="3">
        <v>67</v>
      </c>
      <c r="E26" s="3">
        <v>99</v>
      </c>
      <c r="F26" s="3">
        <v>-32</v>
      </c>
    </row>
    <row r="27" spans="1:6">
      <c r="A27" s="7">
        <v>45658</v>
      </c>
      <c r="B27" t="s">
        <v>46</v>
      </c>
      <c r="C27" t="s">
        <v>15</v>
      </c>
      <c r="D27" s="3">
        <v>70</v>
      </c>
      <c r="E27" s="3">
        <v>89</v>
      </c>
      <c r="F27" s="3">
        <v>-19</v>
      </c>
    </row>
    <row r="28" spans="1:6">
      <c r="A28" s="7">
        <v>45658</v>
      </c>
      <c r="B28" t="s">
        <v>47</v>
      </c>
      <c r="C28" t="s">
        <v>15</v>
      </c>
      <c r="D28" s="3">
        <v>75</v>
      </c>
      <c r="E28" s="3">
        <v>69</v>
      </c>
      <c r="F28" s="3">
        <v>6</v>
      </c>
    </row>
    <row r="29" spans="1:6">
      <c r="A29" s="7">
        <v>45658</v>
      </c>
      <c r="B29" t="s">
        <v>48</v>
      </c>
      <c r="C29" t="s">
        <v>15</v>
      </c>
      <c r="D29" s="3">
        <v>65</v>
      </c>
      <c r="E29" s="3">
        <v>75</v>
      </c>
      <c r="F29" s="3">
        <v>-10</v>
      </c>
    </row>
    <row r="30" spans="1:6">
      <c r="A30" s="7">
        <v>45658</v>
      </c>
      <c r="B30" t="s">
        <v>49</v>
      </c>
      <c r="C30" t="s">
        <v>20</v>
      </c>
      <c r="D30" s="3">
        <v>109</v>
      </c>
      <c r="E30" s="3">
        <v>84</v>
      </c>
      <c r="F30" s="3">
        <v>25</v>
      </c>
    </row>
    <row r="31" spans="1:6">
      <c r="A31" s="7">
        <v>45658</v>
      </c>
      <c r="B31" t="s">
        <v>50</v>
      </c>
      <c r="C31" t="s">
        <v>20</v>
      </c>
      <c r="D31" s="3">
        <v>103</v>
      </c>
      <c r="E31" s="3">
        <v>100</v>
      </c>
      <c r="F31" s="3">
        <v>3</v>
      </c>
    </row>
    <row r="32" spans="1:6">
      <c r="A32" s="7">
        <v>45658</v>
      </c>
      <c r="B32" t="s">
        <v>51</v>
      </c>
      <c r="C32" t="s">
        <v>20</v>
      </c>
      <c r="D32" s="3">
        <v>85</v>
      </c>
      <c r="E32" s="3">
        <v>95</v>
      </c>
      <c r="F32" s="3">
        <v>-10</v>
      </c>
    </row>
    <row r="33" spans="1:6">
      <c r="A33" s="7">
        <v>45658</v>
      </c>
      <c r="B33" t="s">
        <v>52</v>
      </c>
      <c r="C33" t="s">
        <v>20</v>
      </c>
      <c r="D33" s="3">
        <v>92</v>
      </c>
      <c r="E33" s="3">
        <v>84</v>
      </c>
      <c r="F33" s="3">
        <v>8</v>
      </c>
    </row>
    <row r="34" spans="1:6">
      <c r="A34" s="7">
        <v>45658</v>
      </c>
      <c r="B34" t="s">
        <v>53</v>
      </c>
      <c r="C34" t="s">
        <v>25</v>
      </c>
      <c r="D34" s="3">
        <v>81</v>
      </c>
      <c r="E34" s="3">
        <v>84</v>
      </c>
      <c r="F34" s="3">
        <v>-3</v>
      </c>
    </row>
    <row r="35" spans="1:6">
      <c r="A35" s="7">
        <v>45658</v>
      </c>
      <c r="B35" t="s">
        <v>54</v>
      </c>
      <c r="C35" t="s">
        <v>25</v>
      </c>
      <c r="D35" s="3">
        <v>74</v>
      </c>
      <c r="E35" s="3">
        <v>76</v>
      </c>
      <c r="F35" s="3">
        <v>-2</v>
      </c>
    </row>
    <row r="36" spans="1:6">
      <c r="A36" s="7">
        <v>45658</v>
      </c>
      <c r="B36" t="s">
        <v>55</v>
      </c>
      <c r="C36" t="s">
        <v>25</v>
      </c>
      <c r="D36" s="3">
        <v>101</v>
      </c>
      <c r="E36" s="3">
        <v>98</v>
      </c>
      <c r="F36" s="3">
        <v>3</v>
      </c>
    </row>
    <row r="37" spans="1:6">
      <c r="A37" s="7">
        <v>45658</v>
      </c>
      <c r="B37" t="s">
        <v>56</v>
      </c>
      <c r="C37" t="s">
        <v>25</v>
      </c>
      <c r="D37" s="3">
        <v>102</v>
      </c>
      <c r="E37" s="3">
        <v>84</v>
      </c>
      <c r="F37" s="3">
        <v>18</v>
      </c>
    </row>
    <row r="38" spans="1:6">
      <c r="A38" s="7">
        <v>45658</v>
      </c>
      <c r="B38" t="s">
        <v>57</v>
      </c>
      <c r="C38" t="s">
        <v>15</v>
      </c>
      <c r="D38" s="3">
        <v>164</v>
      </c>
      <c r="E38" s="3">
        <v>144</v>
      </c>
      <c r="F38" s="3">
        <v>20</v>
      </c>
    </row>
    <row r="39" spans="1:6">
      <c r="A39" s="7">
        <v>45658</v>
      </c>
      <c r="B39" t="s">
        <v>60</v>
      </c>
      <c r="C39" t="s">
        <v>15</v>
      </c>
      <c r="D39" s="3">
        <v>190</v>
      </c>
      <c r="E39" s="3">
        <v>154</v>
      </c>
      <c r="F39" s="3">
        <v>36</v>
      </c>
    </row>
    <row r="40" spans="1:6">
      <c r="A40" s="7">
        <v>45658</v>
      </c>
      <c r="B40" t="s">
        <v>61</v>
      </c>
      <c r="C40" t="s">
        <v>15</v>
      </c>
      <c r="D40" s="3">
        <v>173</v>
      </c>
      <c r="E40" s="3">
        <v>161</v>
      </c>
      <c r="F40" s="3">
        <v>12</v>
      </c>
    </row>
    <row r="41" spans="1:6">
      <c r="A41" s="7">
        <v>45658</v>
      </c>
      <c r="B41" t="s">
        <v>62</v>
      </c>
      <c r="C41" t="s">
        <v>15</v>
      </c>
      <c r="D41" s="3">
        <v>100</v>
      </c>
      <c r="E41" s="3">
        <v>115</v>
      </c>
      <c r="F41" s="3">
        <v>-15</v>
      </c>
    </row>
    <row r="42" spans="1:6">
      <c r="A42" s="7">
        <v>45658</v>
      </c>
      <c r="B42" t="s">
        <v>63</v>
      </c>
      <c r="C42" t="s">
        <v>20</v>
      </c>
      <c r="D42" s="3">
        <v>158</v>
      </c>
      <c r="E42" s="3">
        <v>138</v>
      </c>
      <c r="F42" s="3">
        <v>20</v>
      </c>
    </row>
    <row r="43" spans="1:6">
      <c r="A43" s="7">
        <v>45658</v>
      </c>
      <c r="B43" t="s">
        <v>64</v>
      </c>
      <c r="C43" t="s">
        <v>20</v>
      </c>
      <c r="D43" s="3">
        <v>127</v>
      </c>
      <c r="E43" s="3">
        <v>148</v>
      </c>
      <c r="F43" s="3">
        <v>-21</v>
      </c>
    </row>
    <row r="44" spans="1:6">
      <c r="A44" s="7">
        <v>45658</v>
      </c>
      <c r="B44" t="s">
        <v>65</v>
      </c>
      <c r="C44" t="s">
        <v>20</v>
      </c>
      <c r="D44" s="3">
        <v>115</v>
      </c>
      <c r="E44" s="3">
        <v>170</v>
      </c>
      <c r="F44" s="3">
        <v>-55</v>
      </c>
    </row>
    <row r="45" spans="1:6">
      <c r="A45" s="7">
        <v>45658</v>
      </c>
      <c r="B45" t="s">
        <v>66</v>
      </c>
      <c r="C45" t="s">
        <v>20</v>
      </c>
      <c r="D45" s="3">
        <v>126</v>
      </c>
      <c r="E45" s="3">
        <v>112</v>
      </c>
      <c r="F45" s="3">
        <v>14</v>
      </c>
    </row>
    <row r="46" spans="1:6">
      <c r="A46" s="7">
        <v>45658</v>
      </c>
      <c r="B46" t="s">
        <v>67</v>
      </c>
      <c r="C46" t="s">
        <v>25</v>
      </c>
      <c r="D46" s="3">
        <v>86</v>
      </c>
      <c r="E46" s="3">
        <v>105</v>
      </c>
      <c r="F46" s="3">
        <v>-19</v>
      </c>
    </row>
    <row r="47" spans="1:6">
      <c r="A47" s="7">
        <v>45658</v>
      </c>
      <c r="B47" t="s">
        <v>68</v>
      </c>
      <c r="C47" t="s">
        <v>25</v>
      </c>
      <c r="D47" s="3">
        <v>97</v>
      </c>
      <c r="E47" s="3">
        <v>145</v>
      </c>
      <c r="F47" s="3">
        <v>-48</v>
      </c>
    </row>
    <row r="48" spans="1:6">
      <c r="A48" s="7">
        <v>45658</v>
      </c>
      <c r="B48" t="s">
        <v>69</v>
      </c>
      <c r="C48" t="s">
        <v>25</v>
      </c>
      <c r="D48" s="3">
        <v>119</v>
      </c>
      <c r="E48" s="3">
        <v>105</v>
      </c>
      <c r="F48" s="3">
        <v>14</v>
      </c>
    </row>
    <row r="49" spans="1:6">
      <c r="A49" s="7">
        <v>45658</v>
      </c>
      <c r="B49" t="s">
        <v>70</v>
      </c>
      <c r="C49" t="s">
        <v>25</v>
      </c>
      <c r="D49" s="3">
        <v>125</v>
      </c>
      <c r="E49" s="3">
        <v>149</v>
      </c>
      <c r="F49" s="3">
        <v>-24</v>
      </c>
    </row>
    <row r="50" spans="1:6">
      <c r="A50" s="7">
        <v>45658</v>
      </c>
      <c r="B50" t="s">
        <v>71</v>
      </c>
      <c r="C50" t="s">
        <v>15</v>
      </c>
      <c r="D50" s="3">
        <v>77</v>
      </c>
      <c r="E50" s="3">
        <v>60</v>
      </c>
      <c r="F50" s="3">
        <v>17</v>
      </c>
    </row>
    <row r="51" spans="1:6">
      <c r="A51" s="7">
        <v>45658</v>
      </c>
      <c r="B51" t="s">
        <v>74</v>
      </c>
      <c r="C51" t="s">
        <v>15</v>
      </c>
      <c r="D51" s="3">
        <v>56</v>
      </c>
      <c r="E51" s="3">
        <v>56</v>
      </c>
      <c r="F51" s="3">
        <v>0</v>
      </c>
    </row>
    <row r="52" spans="1:6">
      <c r="A52" s="7">
        <v>45658</v>
      </c>
      <c r="B52" t="s">
        <v>75</v>
      </c>
      <c r="C52" t="s">
        <v>15</v>
      </c>
      <c r="D52" s="3">
        <v>47</v>
      </c>
      <c r="E52" s="3">
        <v>65</v>
      </c>
      <c r="F52" s="3">
        <v>-18</v>
      </c>
    </row>
    <row r="53" spans="1:6">
      <c r="A53" s="7">
        <v>45658</v>
      </c>
      <c r="B53" t="s">
        <v>76</v>
      </c>
      <c r="C53" t="s">
        <v>15</v>
      </c>
      <c r="D53" s="3">
        <v>41</v>
      </c>
      <c r="E53" s="3">
        <v>68</v>
      </c>
      <c r="F53" s="3">
        <v>-27</v>
      </c>
    </row>
    <row r="54" spans="1:6">
      <c r="A54" s="7">
        <v>45658</v>
      </c>
      <c r="B54" t="s">
        <v>77</v>
      </c>
      <c r="C54" t="s">
        <v>20</v>
      </c>
      <c r="D54" s="3">
        <v>82</v>
      </c>
      <c r="E54" s="3">
        <v>68</v>
      </c>
      <c r="F54" s="3">
        <v>14</v>
      </c>
    </row>
    <row r="55" spans="1:6">
      <c r="A55" s="7">
        <v>45658</v>
      </c>
      <c r="B55" t="s">
        <v>78</v>
      </c>
      <c r="C55" t="s">
        <v>20</v>
      </c>
      <c r="D55" s="3">
        <v>78</v>
      </c>
      <c r="E55" s="3">
        <v>79</v>
      </c>
      <c r="F55" s="3">
        <v>-1</v>
      </c>
    </row>
    <row r="56" spans="1:6">
      <c r="A56" s="7">
        <v>45658</v>
      </c>
      <c r="B56" t="s">
        <v>79</v>
      </c>
      <c r="C56" t="s">
        <v>20</v>
      </c>
      <c r="D56" s="3">
        <v>84</v>
      </c>
      <c r="E56" s="3">
        <v>59</v>
      </c>
      <c r="F56" s="3">
        <v>25</v>
      </c>
    </row>
    <row r="57" spans="1:6">
      <c r="A57" s="7">
        <v>45658</v>
      </c>
      <c r="B57" t="s">
        <v>80</v>
      </c>
      <c r="C57" t="s">
        <v>20</v>
      </c>
      <c r="D57" s="3">
        <v>87</v>
      </c>
      <c r="E57" s="3">
        <v>74</v>
      </c>
      <c r="F57" s="3">
        <v>13</v>
      </c>
    </row>
    <row r="58" spans="1:6">
      <c r="A58" s="7">
        <v>45658</v>
      </c>
      <c r="B58" t="s">
        <v>81</v>
      </c>
      <c r="C58" t="s">
        <v>25</v>
      </c>
      <c r="D58" s="3">
        <v>72</v>
      </c>
      <c r="E58" s="3">
        <v>65</v>
      </c>
      <c r="F58" s="3">
        <v>7</v>
      </c>
    </row>
    <row r="59" spans="1:6">
      <c r="A59" s="7">
        <v>45658</v>
      </c>
      <c r="B59" t="s">
        <v>82</v>
      </c>
      <c r="C59" t="s">
        <v>25</v>
      </c>
      <c r="D59" s="3">
        <v>58</v>
      </c>
      <c r="E59" s="3">
        <v>58</v>
      </c>
      <c r="F59" s="3">
        <v>0</v>
      </c>
    </row>
    <row r="60" spans="1:6">
      <c r="A60" s="7">
        <v>45658</v>
      </c>
      <c r="B60" t="s">
        <v>83</v>
      </c>
      <c r="C60" t="s">
        <v>25</v>
      </c>
      <c r="D60" s="3">
        <v>102</v>
      </c>
      <c r="E60" s="3">
        <v>68</v>
      </c>
      <c r="F60" s="3">
        <v>34</v>
      </c>
    </row>
    <row r="61" spans="1:6">
      <c r="A61" s="7">
        <v>45658</v>
      </c>
      <c r="B61" t="s">
        <v>84</v>
      </c>
      <c r="C61" t="s">
        <v>25</v>
      </c>
      <c r="D61" s="3">
        <v>65</v>
      </c>
      <c r="E61" s="3">
        <v>62</v>
      </c>
      <c r="F61" s="3">
        <v>3</v>
      </c>
    </row>
    <row r="62" spans="1:6">
      <c r="A62" s="7">
        <v>45658</v>
      </c>
      <c r="B62" t="s">
        <v>85</v>
      </c>
      <c r="C62" t="s">
        <v>15</v>
      </c>
      <c r="D62" s="3">
        <v>55</v>
      </c>
      <c r="E62" s="3">
        <v>49</v>
      </c>
      <c r="F62" s="3">
        <v>6</v>
      </c>
    </row>
    <row r="63" spans="1:6">
      <c r="A63" s="7">
        <v>45658</v>
      </c>
      <c r="B63" t="s">
        <v>88</v>
      </c>
      <c r="C63" t="s">
        <v>15</v>
      </c>
      <c r="D63" s="3">
        <v>59</v>
      </c>
      <c r="E63" s="3">
        <v>42</v>
      </c>
      <c r="F63" s="3">
        <v>17</v>
      </c>
    </row>
    <row r="64" spans="1:6">
      <c r="A64" s="7">
        <v>45658</v>
      </c>
      <c r="B64" t="s">
        <v>89</v>
      </c>
      <c r="C64" t="s">
        <v>15</v>
      </c>
      <c r="D64" s="3">
        <v>71</v>
      </c>
      <c r="E64" s="3">
        <v>64</v>
      </c>
      <c r="F64" s="3">
        <v>7</v>
      </c>
    </row>
    <row r="65" spans="1:6">
      <c r="A65" s="7">
        <v>45658</v>
      </c>
      <c r="B65" t="s">
        <v>90</v>
      </c>
      <c r="C65" t="s">
        <v>15</v>
      </c>
      <c r="D65" s="3">
        <v>55</v>
      </c>
      <c r="E65" s="3">
        <v>47</v>
      </c>
      <c r="F65" s="3">
        <v>8</v>
      </c>
    </row>
    <row r="66" spans="1:6">
      <c r="A66" s="7">
        <v>45658</v>
      </c>
      <c r="B66" t="s">
        <v>91</v>
      </c>
      <c r="C66" t="s">
        <v>20</v>
      </c>
      <c r="D66" s="3">
        <v>43</v>
      </c>
      <c r="E66" s="3">
        <v>46</v>
      </c>
      <c r="F66" s="3">
        <v>-3</v>
      </c>
    </row>
    <row r="67" spans="1:6">
      <c r="A67" s="7">
        <v>45658</v>
      </c>
      <c r="B67" t="s">
        <v>92</v>
      </c>
      <c r="C67" t="s">
        <v>20</v>
      </c>
      <c r="D67" s="3">
        <v>40</v>
      </c>
      <c r="E67" s="3">
        <v>53</v>
      </c>
      <c r="F67" s="3">
        <v>-13</v>
      </c>
    </row>
    <row r="68" spans="1:6">
      <c r="A68" s="7">
        <v>45658</v>
      </c>
      <c r="B68" t="s">
        <v>93</v>
      </c>
      <c r="C68" t="s">
        <v>20</v>
      </c>
      <c r="D68" s="3">
        <v>50</v>
      </c>
      <c r="E68" s="3">
        <v>54</v>
      </c>
      <c r="F68" s="3">
        <v>-4</v>
      </c>
    </row>
    <row r="69" spans="1:6">
      <c r="A69" s="7">
        <v>45658</v>
      </c>
      <c r="B69" t="s">
        <v>94</v>
      </c>
      <c r="C69" t="s">
        <v>20</v>
      </c>
      <c r="D69" s="3">
        <v>27</v>
      </c>
      <c r="E69" s="3">
        <v>46</v>
      </c>
      <c r="F69" s="3">
        <v>-19</v>
      </c>
    </row>
    <row r="70" spans="1:6">
      <c r="A70" s="7">
        <v>45658</v>
      </c>
      <c r="B70" t="s">
        <v>95</v>
      </c>
      <c r="C70" t="s">
        <v>25</v>
      </c>
      <c r="D70" s="3">
        <v>36</v>
      </c>
      <c r="E70" s="3">
        <v>57</v>
      </c>
      <c r="F70" s="3">
        <v>-21</v>
      </c>
    </row>
    <row r="71" spans="1:6">
      <c r="A71" s="7">
        <v>45658</v>
      </c>
      <c r="B71" t="s">
        <v>96</v>
      </c>
      <c r="C71" t="s">
        <v>25</v>
      </c>
      <c r="D71" s="3">
        <v>27</v>
      </c>
      <c r="E71" s="3">
        <v>43</v>
      </c>
      <c r="F71" s="3">
        <v>-16</v>
      </c>
    </row>
    <row r="72" spans="1:6">
      <c r="A72" s="7">
        <v>45658</v>
      </c>
      <c r="B72" t="s">
        <v>97</v>
      </c>
      <c r="C72" t="s">
        <v>25</v>
      </c>
      <c r="D72" s="3">
        <v>59</v>
      </c>
      <c r="E72" s="3">
        <v>50</v>
      </c>
      <c r="F72" s="3">
        <v>9</v>
      </c>
    </row>
    <row r="73" spans="1:6">
      <c r="A73" s="7">
        <v>45658</v>
      </c>
      <c r="B73" t="s">
        <v>98</v>
      </c>
      <c r="C73" t="s">
        <v>25</v>
      </c>
      <c r="D73" s="3">
        <v>34</v>
      </c>
      <c r="E73" s="3">
        <v>52</v>
      </c>
      <c r="F73" s="3">
        <v>-18</v>
      </c>
    </row>
    <row r="74" spans="1:6">
      <c r="A74" s="7">
        <v>45689</v>
      </c>
      <c r="B74" t="s">
        <v>12</v>
      </c>
      <c r="C74" t="s">
        <v>15</v>
      </c>
      <c r="D74" s="3">
        <v>103</v>
      </c>
      <c r="E74" s="3">
        <v>71</v>
      </c>
      <c r="F74" s="3">
        <v>32</v>
      </c>
    </row>
    <row r="75" spans="1:6">
      <c r="A75" s="7">
        <v>45689</v>
      </c>
      <c r="B75" t="s">
        <v>16</v>
      </c>
      <c r="C75" t="s">
        <v>15</v>
      </c>
      <c r="D75" s="3">
        <v>91</v>
      </c>
      <c r="E75" s="3">
        <v>89</v>
      </c>
      <c r="F75" s="3">
        <v>2</v>
      </c>
    </row>
    <row r="76" spans="1:6">
      <c r="A76" s="7">
        <v>45689</v>
      </c>
      <c r="B76" t="s">
        <v>17</v>
      </c>
      <c r="C76" t="s">
        <v>15</v>
      </c>
      <c r="D76" s="3">
        <v>85</v>
      </c>
      <c r="E76" s="3">
        <v>103</v>
      </c>
      <c r="F76" s="3">
        <v>-18</v>
      </c>
    </row>
    <row r="77" spans="1:6">
      <c r="A77" s="7">
        <v>45689</v>
      </c>
      <c r="B77" t="s">
        <v>18</v>
      </c>
      <c r="C77" t="s">
        <v>15</v>
      </c>
      <c r="D77" s="3">
        <v>61</v>
      </c>
      <c r="E77" s="3">
        <v>77</v>
      </c>
      <c r="F77" s="3">
        <v>-16</v>
      </c>
    </row>
    <row r="78" spans="1:6">
      <c r="A78" s="7">
        <v>45689</v>
      </c>
      <c r="B78" t="s">
        <v>19</v>
      </c>
      <c r="C78" t="s">
        <v>20</v>
      </c>
      <c r="D78" s="3">
        <v>116</v>
      </c>
      <c r="E78" s="3">
        <v>94</v>
      </c>
      <c r="F78" s="3">
        <v>22</v>
      </c>
    </row>
    <row r="79" spans="1:6">
      <c r="A79" s="7">
        <v>45689</v>
      </c>
      <c r="B79" t="s">
        <v>21</v>
      </c>
      <c r="C79" t="s">
        <v>20</v>
      </c>
      <c r="D79" s="3">
        <v>93</v>
      </c>
      <c r="E79" s="3">
        <v>78</v>
      </c>
      <c r="F79" s="3">
        <v>15</v>
      </c>
    </row>
    <row r="80" spans="1:6">
      <c r="A80" s="7">
        <v>45689</v>
      </c>
      <c r="B80" t="s">
        <v>22</v>
      </c>
      <c r="C80" t="s">
        <v>20</v>
      </c>
      <c r="D80" s="3">
        <v>58</v>
      </c>
      <c r="E80" s="3">
        <v>88</v>
      </c>
      <c r="F80" s="3">
        <v>-30</v>
      </c>
    </row>
    <row r="81" spans="1:6">
      <c r="A81" s="7">
        <v>45689</v>
      </c>
      <c r="B81" t="s">
        <v>23</v>
      </c>
      <c r="C81" t="s">
        <v>20</v>
      </c>
      <c r="D81" s="3">
        <v>90</v>
      </c>
      <c r="E81" s="3">
        <v>71</v>
      </c>
      <c r="F81" s="3">
        <v>19</v>
      </c>
    </row>
    <row r="82" spans="1:6">
      <c r="A82" s="7">
        <v>45689</v>
      </c>
      <c r="B82" t="s">
        <v>24</v>
      </c>
      <c r="C82" t="s">
        <v>25</v>
      </c>
      <c r="D82" s="3">
        <v>113</v>
      </c>
      <c r="E82" s="3">
        <v>81</v>
      </c>
      <c r="F82" s="3">
        <v>32</v>
      </c>
    </row>
    <row r="83" spans="1:6">
      <c r="A83" s="7">
        <v>45689</v>
      </c>
      <c r="B83" t="s">
        <v>26</v>
      </c>
      <c r="C83" t="s">
        <v>25</v>
      </c>
      <c r="D83" s="3">
        <v>73</v>
      </c>
      <c r="E83" s="3">
        <v>96</v>
      </c>
      <c r="F83" s="3">
        <v>-23</v>
      </c>
    </row>
    <row r="84" spans="1:6">
      <c r="A84" s="7">
        <v>45689</v>
      </c>
      <c r="B84" t="s">
        <v>27</v>
      </c>
      <c r="C84" t="s">
        <v>25</v>
      </c>
      <c r="D84" s="3">
        <v>105</v>
      </c>
      <c r="E84" s="3">
        <v>77</v>
      </c>
      <c r="F84" s="3">
        <v>28</v>
      </c>
    </row>
    <row r="85" spans="1:6">
      <c r="A85" s="7">
        <v>45689</v>
      </c>
      <c r="B85" t="s">
        <v>28</v>
      </c>
      <c r="C85" t="s">
        <v>25</v>
      </c>
      <c r="D85" s="3">
        <v>88</v>
      </c>
      <c r="E85" s="3">
        <v>76</v>
      </c>
      <c r="F85" s="3">
        <v>12</v>
      </c>
    </row>
    <row r="86" spans="1:6">
      <c r="A86" s="7">
        <v>45689</v>
      </c>
      <c r="B86" t="s">
        <v>29</v>
      </c>
      <c r="C86" t="s">
        <v>15</v>
      </c>
      <c r="D86" s="3">
        <v>76</v>
      </c>
      <c r="E86" s="3">
        <v>90</v>
      </c>
      <c r="F86" s="3">
        <v>-14</v>
      </c>
    </row>
    <row r="87" spans="1:6">
      <c r="A87" s="7">
        <v>45689</v>
      </c>
      <c r="B87" t="s">
        <v>32</v>
      </c>
      <c r="C87" t="s">
        <v>15</v>
      </c>
      <c r="D87" s="3">
        <v>84</v>
      </c>
      <c r="E87" s="3">
        <v>60</v>
      </c>
      <c r="F87" s="3">
        <v>24</v>
      </c>
    </row>
    <row r="88" spans="1:6">
      <c r="A88" s="7">
        <v>45689</v>
      </c>
      <c r="B88" t="s">
        <v>33</v>
      </c>
      <c r="C88" t="s">
        <v>15</v>
      </c>
      <c r="D88" s="3">
        <v>94</v>
      </c>
      <c r="E88" s="3">
        <v>88</v>
      </c>
      <c r="F88" s="3">
        <v>6</v>
      </c>
    </row>
    <row r="89" spans="1:6">
      <c r="A89" s="7">
        <v>45689</v>
      </c>
      <c r="B89" t="s">
        <v>34</v>
      </c>
      <c r="C89" t="s">
        <v>15</v>
      </c>
      <c r="D89" s="3">
        <v>60</v>
      </c>
      <c r="E89" s="3">
        <v>82</v>
      </c>
      <c r="F89" s="3">
        <v>-22</v>
      </c>
    </row>
    <row r="90" spans="1:6">
      <c r="A90" s="7">
        <v>45689</v>
      </c>
      <c r="B90" t="s">
        <v>35</v>
      </c>
      <c r="C90" t="s">
        <v>20</v>
      </c>
      <c r="D90" s="3">
        <v>61</v>
      </c>
      <c r="E90" s="3">
        <v>87</v>
      </c>
      <c r="F90" s="3">
        <v>-26</v>
      </c>
    </row>
    <row r="91" spans="1:6">
      <c r="A91" s="7">
        <v>45689</v>
      </c>
      <c r="B91" t="s">
        <v>36</v>
      </c>
      <c r="C91" t="s">
        <v>20</v>
      </c>
      <c r="D91" s="3">
        <v>106</v>
      </c>
      <c r="E91" s="3">
        <v>96</v>
      </c>
      <c r="F91" s="3">
        <v>10</v>
      </c>
    </row>
    <row r="92" spans="1:6">
      <c r="A92" s="7">
        <v>45689</v>
      </c>
      <c r="B92" t="s">
        <v>37</v>
      </c>
      <c r="C92" t="s">
        <v>20</v>
      </c>
      <c r="D92" s="3">
        <v>73</v>
      </c>
      <c r="E92" s="3">
        <v>86</v>
      </c>
      <c r="F92" s="3">
        <v>-13</v>
      </c>
    </row>
    <row r="93" spans="1:6">
      <c r="A93" s="7">
        <v>45689</v>
      </c>
      <c r="B93" t="s">
        <v>38</v>
      </c>
      <c r="C93" t="s">
        <v>20</v>
      </c>
      <c r="D93" s="3">
        <v>92</v>
      </c>
      <c r="E93" s="3">
        <v>83</v>
      </c>
      <c r="F93" s="3">
        <v>9</v>
      </c>
    </row>
    <row r="94" spans="1:6">
      <c r="A94" s="7">
        <v>45689</v>
      </c>
      <c r="B94" t="s">
        <v>39</v>
      </c>
      <c r="C94" t="s">
        <v>25</v>
      </c>
      <c r="D94" s="3">
        <v>44</v>
      </c>
      <c r="E94" s="3">
        <v>74</v>
      </c>
      <c r="F94" s="3">
        <v>-30</v>
      </c>
    </row>
    <row r="95" spans="1:6">
      <c r="A95" s="7">
        <v>45689</v>
      </c>
      <c r="B95" t="s">
        <v>40</v>
      </c>
      <c r="C95" t="s">
        <v>25</v>
      </c>
      <c r="D95" s="3">
        <v>100</v>
      </c>
      <c r="E95" s="3">
        <v>86</v>
      </c>
      <c r="F95" s="3">
        <v>14</v>
      </c>
    </row>
    <row r="96" spans="1:6">
      <c r="A96" s="7">
        <v>45689</v>
      </c>
      <c r="B96" t="s">
        <v>41</v>
      </c>
      <c r="C96" t="s">
        <v>25</v>
      </c>
      <c r="D96" s="3">
        <v>104</v>
      </c>
      <c r="E96" s="3">
        <v>94</v>
      </c>
      <c r="F96" s="3">
        <v>10</v>
      </c>
    </row>
    <row r="97" spans="1:6">
      <c r="A97" s="7">
        <v>45689</v>
      </c>
      <c r="B97" t="s">
        <v>42</v>
      </c>
      <c r="C97" t="s">
        <v>25</v>
      </c>
      <c r="D97" s="3">
        <v>78</v>
      </c>
      <c r="E97" s="3">
        <v>68</v>
      </c>
      <c r="F97" s="3">
        <v>10</v>
      </c>
    </row>
    <row r="98" spans="1:6">
      <c r="A98" s="7">
        <v>45689</v>
      </c>
      <c r="B98" t="s">
        <v>43</v>
      </c>
      <c r="C98" t="s">
        <v>15</v>
      </c>
      <c r="D98" s="3">
        <v>85</v>
      </c>
      <c r="E98" s="3">
        <v>77</v>
      </c>
      <c r="F98" s="3">
        <v>8</v>
      </c>
    </row>
    <row r="99" spans="1:6">
      <c r="A99" s="7">
        <v>45689</v>
      </c>
      <c r="B99" t="s">
        <v>46</v>
      </c>
      <c r="C99" t="s">
        <v>15</v>
      </c>
      <c r="D99" s="3">
        <v>58</v>
      </c>
      <c r="E99" s="3">
        <v>89</v>
      </c>
      <c r="F99" s="3">
        <v>-31</v>
      </c>
    </row>
    <row r="100" spans="1:6">
      <c r="A100" s="7">
        <v>45689</v>
      </c>
      <c r="B100" t="s">
        <v>47</v>
      </c>
      <c r="C100" t="s">
        <v>15</v>
      </c>
      <c r="D100" s="3">
        <v>71</v>
      </c>
      <c r="E100" s="3">
        <v>75</v>
      </c>
      <c r="F100" s="3">
        <v>-4</v>
      </c>
    </row>
    <row r="101" spans="1:6">
      <c r="A101" s="7">
        <v>45689</v>
      </c>
      <c r="B101" t="s">
        <v>48</v>
      </c>
      <c r="C101" t="s">
        <v>15</v>
      </c>
      <c r="D101" s="3">
        <v>114</v>
      </c>
      <c r="E101" s="3">
        <v>98</v>
      </c>
      <c r="F101" s="3">
        <v>16</v>
      </c>
    </row>
    <row r="102" spans="1:6">
      <c r="A102" s="7">
        <v>45689</v>
      </c>
      <c r="B102" t="s">
        <v>49</v>
      </c>
      <c r="C102" t="s">
        <v>20</v>
      </c>
      <c r="D102" s="3">
        <v>55</v>
      </c>
      <c r="E102" s="3">
        <v>87</v>
      </c>
      <c r="F102" s="3">
        <v>-32</v>
      </c>
    </row>
    <row r="103" spans="1:6">
      <c r="A103" s="7">
        <v>45689</v>
      </c>
      <c r="B103" t="s">
        <v>50</v>
      </c>
      <c r="C103" t="s">
        <v>20</v>
      </c>
      <c r="D103" s="3">
        <v>89</v>
      </c>
      <c r="E103" s="3">
        <v>81</v>
      </c>
      <c r="F103" s="3">
        <v>8</v>
      </c>
    </row>
    <row r="104" spans="1:6">
      <c r="A104" s="7">
        <v>45689</v>
      </c>
      <c r="B104" t="s">
        <v>51</v>
      </c>
      <c r="C104" t="s">
        <v>20</v>
      </c>
      <c r="D104" s="3">
        <v>111</v>
      </c>
      <c r="E104" s="3">
        <v>98</v>
      </c>
      <c r="F104" s="3">
        <v>13</v>
      </c>
    </row>
    <row r="105" spans="1:6">
      <c r="A105" s="7">
        <v>45689</v>
      </c>
      <c r="B105" t="s">
        <v>52</v>
      </c>
      <c r="C105" t="s">
        <v>20</v>
      </c>
      <c r="D105" s="3">
        <v>100</v>
      </c>
      <c r="E105" s="3">
        <v>70</v>
      </c>
      <c r="F105" s="3">
        <v>30</v>
      </c>
    </row>
    <row r="106" spans="1:6">
      <c r="A106" s="7">
        <v>45689</v>
      </c>
      <c r="B106" t="s">
        <v>53</v>
      </c>
      <c r="C106" t="s">
        <v>25</v>
      </c>
      <c r="D106" s="3">
        <v>68</v>
      </c>
      <c r="E106" s="3">
        <v>87</v>
      </c>
      <c r="F106" s="3">
        <v>-19</v>
      </c>
    </row>
    <row r="107" spans="1:6">
      <c r="A107" s="7">
        <v>45689</v>
      </c>
      <c r="B107" t="s">
        <v>54</v>
      </c>
      <c r="C107" t="s">
        <v>25</v>
      </c>
      <c r="D107" s="3">
        <v>90</v>
      </c>
      <c r="E107" s="3">
        <v>83</v>
      </c>
      <c r="F107" s="3">
        <v>7</v>
      </c>
    </row>
    <row r="108" spans="1:6">
      <c r="A108" s="7">
        <v>45689</v>
      </c>
      <c r="B108" t="s">
        <v>55</v>
      </c>
      <c r="C108" t="s">
        <v>25</v>
      </c>
      <c r="D108" s="3">
        <v>92</v>
      </c>
      <c r="E108" s="3">
        <v>89</v>
      </c>
      <c r="F108" s="3">
        <v>3</v>
      </c>
    </row>
    <row r="109" spans="1:6">
      <c r="A109" s="7">
        <v>45689</v>
      </c>
      <c r="B109" t="s">
        <v>56</v>
      </c>
      <c r="C109" t="s">
        <v>25</v>
      </c>
      <c r="D109" s="3">
        <v>54</v>
      </c>
      <c r="E109" s="3">
        <v>95</v>
      </c>
      <c r="F109" s="3">
        <v>-41</v>
      </c>
    </row>
    <row r="110" spans="1:6">
      <c r="A110" s="7">
        <v>45689</v>
      </c>
      <c r="B110" t="s">
        <v>57</v>
      </c>
      <c r="C110" t="s">
        <v>15</v>
      </c>
      <c r="D110" s="3">
        <v>143</v>
      </c>
      <c r="E110" s="3">
        <v>161</v>
      </c>
      <c r="F110" s="3">
        <v>-18</v>
      </c>
    </row>
    <row r="111" spans="1:6">
      <c r="A111" s="7">
        <v>45689</v>
      </c>
      <c r="B111" t="s">
        <v>60</v>
      </c>
      <c r="C111" t="s">
        <v>15</v>
      </c>
      <c r="D111" s="3">
        <v>150</v>
      </c>
      <c r="E111" s="3">
        <v>170</v>
      </c>
      <c r="F111" s="3">
        <v>-20</v>
      </c>
    </row>
    <row r="112" spans="1:6">
      <c r="A112" s="7">
        <v>45689</v>
      </c>
      <c r="B112" t="s">
        <v>61</v>
      </c>
      <c r="C112" t="s">
        <v>15</v>
      </c>
      <c r="D112" s="3">
        <v>165</v>
      </c>
      <c r="E112" s="3">
        <v>155</v>
      </c>
      <c r="F112" s="3">
        <v>10</v>
      </c>
    </row>
    <row r="113" spans="1:6">
      <c r="A113" s="7">
        <v>45689</v>
      </c>
      <c r="B113" t="s">
        <v>62</v>
      </c>
      <c r="C113" t="s">
        <v>15</v>
      </c>
      <c r="D113" s="3">
        <v>178</v>
      </c>
      <c r="E113" s="3">
        <v>128</v>
      </c>
      <c r="F113" s="3">
        <v>50</v>
      </c>
    </row>
    <row r="114" spans="1:6">
      <c r="A114" s="7">
        <v>45689</v>
      </c>
      <c r="B114" t="s">
        <v>63</v>
      </c>
      <c r="C114" t="s">
        <v>20</v>
      </c>
      <c r="D114" s="3">
        <v>174</v>
      </c>
      <c r="E114" s="3">
        <v>133</v>
      </c>
      <c r="F114" s="3">
        <v>41</v>
      </c>
    </row>
    <row r="115" spans="1:6">
      <c r="A115" s="7">
        <v>45689</v>
      </c>
      <c r="B115" t="s">
        <v>64</v>
      </c>
      <c r="C115" t="s">
        <v>20</v>
      </c>
      <c r="D115" s="3">
        <v>172</v>
      </c>
      <c r="E115" s="3">
        <v>112</v>
      </c>
      <c r="F115" s="3">
        <v>60</v>
      </c>
    </row>
    <row r="116" spans="1:6">
      <c r="A116" s="7">
        <v>45689</v>
      </c>
      <c r="B116" t="s">
        <v>65</v>
      </c>
      <c r="C116" t="s">
        <v>20</v>
      </c>
      <c r="D116" s="3">
        <v>158</v>
      </c>
      <c r="E116" s="3">
        <v>148</v>
      </c>
      <c r="F116" s="3">
        <v>10</v>
      </c>
    </row>
    <row r="117" spans="1:6">
      <c r="A117" s="7">
        <v>45689</v>
      </c>
      <c r="B117" t="s">
        <v>66</v>
      </c>
      <c r="C117" t="s">
        <v>20</v>
      </c>
      <c r="D117" s="3">
        <v>158</v>
      </c>
      <c r="E117" s="3">
        <v>147</v>
      </c>
      <c r="F117" s="3">
        <v>11</v>
      </c>
    </row>
    <row r="118" spans="1:6">
      <c r="A118" s="7">
        <v>45689</v>
      </c>
      <c r="B118" t="s">
        <v>67</v>
      </c>
      <c r="C118" t="s">
        <v>25</v>
      </c>
      <c r="D118" s="3">
        <v>157</v>
      </c>
      <c r="E118" s="3">
        <v>120</v>
      </c>
      <c r="F118" s="3">
        <v>37</v>
      </c>
    </row>
    <row r="119" spans="1:6">
      <c r="A119" s="7">
        <v>45689</v>
      </c>
      <c r="B119" t="s">
        <v>68</v>
      </c>
      <c r="C119" t="s">
        <v>25</v>
      </c>
      <c r="D119" s="3">
        <v>85</v>
      </c>
      <c r="E119" s="3">
        <v>153</v>
      </c>
      <c r="F119" s="3">
        <v>-68</v>
      </c>
    </row>
    <row r="120" spans="1:6">
      <c r="A120" s="7">
        <v>45689</v>
      </c>
      <c r="B120" t="s">
        <v>69</v>
      </c>
      <c r="C120" t="s">
        <v>25</v>
      </c>
      <c r="D120" s="3">
        <v>93</v>
      </c>
      <c r="E120" s="3">
        <v>139</v>
      </c>
      <c r="F120" s="3">
        <v>-46</v>
      </c>
    </row>
    <row r="121" spans="1:6">
      <c r="A121" s="7">
        <v>45689</v>
      </c>
      <c r="B121" t="s">
        <v>70</v>
      </c>
      <c r="C121" t="s">
        <v>25</v>
      </c>
      <c r="D121" s="3">
        <v>134</v>
      </c>
      <c r="E121" s="3">
        <v>138</v>
      </c>
      <c r="F121" s="3">
        <v>-4</v>
      </c>
    </row>
    <row r="122" spans="1:6">
      <c r="A122" s="7">
        <v>45689</v>
      </c>
      <c r="B122" t="s">
        <v>71</v>
      </c>
      <c r="C122" t="s">
        <v>15</v>
      </c>
      <c r="D122" s="3">
        <v>73</v>
      </c>
      <c r="E122" s="3">
        <v>59</v>
      </c>
      <c r="F122" s="3">
        <v>14</v>
      </c>
    </row>
    <row r="123" spans="1:6">
      <c r="A123" s="7">
        <v>45689</v>
      </c>
      <c r="B123" t="s">
        <v>74</v>
      </c>
      <c r="C123" t="s">
        <v>15</v>
      </c>
      <c r="D123" s="3">
        <v>52</v>
      </c>
      <c r="E123" s="3">
        <v>56</v>
      </c>
      <c r="F123" s="3">
        <v>-4</v>
      </c>
    </row>
    <row r="124" spans="1:6">
      <c r="A124" s="7">
        <v>45689</v>
      </c>
      <c r="B124" t="s">
        <v>75</v>
      </c>
      <c r="C124" t="s">
        <v>15</v>
      </c>
      <c r="D124" s="3">
        <v>70</v>
      </c>
      <c r="E124" s="3">
        <v>65</v>
      </c>
      <c r="F124" s="3">
        <v>5</v>
      </c>
    </row>
    <row r="125" spans="1:6">
      <c r="A125" s="7">
        <v>45689</v>
      </c>
      <c r="B125" t="s">
        <v>76</v>
      </c>
      <c r="C125" t="s">
        <v>15</v>
      </c>
      <c r="D125" s="3">
        <v>93</v>
      </c>
      <c r="E125" s="3">
        <v>69</v>
      </c>
      <c r="F125" s="3">
        <v>24</v>
      </c>
    </row>
    <row r="126" spans="1:6">
      <c r="A126" s="7">
        <v>45689</v>
      </c>
      <c r="B126" t="s">
        <v>77</v>
      </c>
      <c r="C126" t="s">
        <v>20</v>
      </c>
      <c r="D126" s="3">
        <v>54</v>
      </c>
      <c r="E126" s="3">
        <v>54</v>
      </c>
      <c r="F126" s="3">
        <v>0</v>
      </c>
    </row>
    <row r="127" spans="1:6">
      <c r="A127" s="7">
        <v>45689</v>
      </c>
      <c r="B127" t="s">
        <v>78</v>
      </c>
      <c r="C127" t="s">
        <v>20</v>
      </c>
      <c r="D127" s="3">
        <v>66</v>
      </c>
      <c r="E127" s="3">
        <v>73</v>
      </c>
      <c r="F127" s="3">
        <v>-7</v>
      </c>
    </row>
    <row r="128" spans="1:6">
      <c r="A128" s="7">
        <v>45689</v>
      </c>
      <c r="B128" t="s">
        <v>79</v>
      </c>
      <c r="C128" t="s">
        <v>20</v>
      </c>
      <c r="D128" s="3">
        <v>71</v>
      </c>
      <c r="E128" s="3">
        <v>53</v>
      </c>
      <c r="F128" s="3">
        <v>18</v>
      </c>
    </row>
    <row r="129" spans="1:6">
      <c r="A129" s="7">
        <v>45689</v>
      </c>
      <c r="B129" t="s">
        <v>80</v>
      </c>
      <c r="C129" t="s">
        <v>20</v>
      </c>
      <c r="D129" s="3">
        <v>48</v>
      </c>
      <c r="E129" s="3">
        <v>69</v>
      </c>
      <c r="F129" s="3">
        <v>-21</v>
      </c>
    </row>
    <row r="130" spans="1:6">
      <c r="A130" s="7">
        <v>45689</v>
      </c>
      <c r="B130" t="s">
        <v>81</v>
      </c>
      <c r="C130" t="s">
        <v>25</v>
      </c>
      <c r="D130" s="3">
        <v>89</v>
      </c>
      <c r="E130" s="3">
        <v>85</v>
      </c>
      <c r="F130" s="3">
        <v>4</v>
      </c>
    </row>
    <row r="131" spans="1:6">
      <c r="A131" s="7">
        <v>45689</v>
      </c>
      <c r="B131" t="s">
        <v>82</v>
      </c>
      <c r="C131" t="s">
        <v>25</v>
      </c>
      <c r="D131" s="3">
        <v>40</v>
      </c>
      <c r="E131" s="3">
        <v>62</v>
      </c>
      <c r="F131" s="3">
        <v>-22</v>
      </c>
    </row>
    <row r="132" spans="1:6">
      <c r="A132" s="7">
        <v>45689</v>
      </c>
      <c r="B132" t="s">
        <v>83</v>
      </c>
      <c r="C132" t="s">
        <v>25</v>
      </c>
      <c r="D132" s="3">
        <v>70</v>
      </c>
      <c r="E132" s="3">
        <v>77</v>
      </c>
      <c r="F132" s="3">
        <v>-7</v>
      </c>
    </row>
    <row r="133" spans="1:6">
      <c r="A133" s="7">
        <v>45689</v>
      </c>
      <c r="B133" t="s">
        <v>84</v>
      </c>
      <c r="C133" t="s">
        <v>25</v>
      </c>
      <c r="D133" s="3">
        <v>64</v>
      </c>
      <c r="E133" s="3">
        <v>55</v>
      </c>
      <c r="F133" s="3">
        <v>9</v>
      </c>
    </row>
    <row r="134" spans="1:6">
      <c r="A134" s="7">
        <v>45689</v>
      </c>
      <c r="B134" t="s">
        <v>85</v>
      </c>
      <c r="C134" t="s">
        <v>15</v>
      </c>
      <c r="D134" s="3">
        <v>56</v>
      </c>
      <c r="E134" s="3">
        <v>61</v>
      </c>
      <c r="F134" s="3">
        <v>-5</v>
      </c>
    </row>
    <row r="135" spans="1:6">
      <c r="A135" s="7">
        <v>45689</v>
      </c>
      <c r="B135" t="s">
        <v>88</v>
      </c>
      <c r="C135" t="s">
        <v>15</v>
      </c>
      <c r="D135" s="3">
        <v>27</v>
      </c>
      <c r="E135" s="3">
        <v>46</v>
      </c>
      <c r="F135" s="3">
        <v>-19</v>
      </c>
    </row>
    <row r="136" spans="1:6">
      <c r="A136" s="7">
        <v>45689</v>
      </c>
      <c r="B136" t="s">
        <v>89</v>
      </c>
      <c r="C136" t="s">
        <v>15</v>
      </c>
      <c r="D136" s="3">
        <v>77</v>
      </c>
      <c r="E136" s="3">
        <v>64</v>
      </c>
      <c r="F136" s="3">
        <v>13</v>
      </c>
    </row>
    <row r="137" spans="1:6">
      <c r="A137" s="7">
        <v>45689</v>
      </c>
      <c r="B137" t="s">
        <v>90</v>
      </c>
      <c r="C137" t="s">
        <v>15</v>
      </c>
      <c r="D137" s="3">
        <v>43</v>
      </c>
      <c r="E137" s="3">
        <v>60</v>
      </c>
      <c r="F137" s="3">
        <v>-17</v>
      </c>
    </row>
    <row r="138" spans="1:6">
      <c r="A138" s="7">
        <v>45689</v>
      </c>
      <c r="B138" t="s">
        <v>91</v>
      </c>
      <c r="C138" t="s">
        <v>20</v>
      </c>
      <c r="D138" s="3">
        <v>70</v>
      </c>
      <c r="E138" s="3">
        <v>52</v>
      </c>
      <c r="F138" s="3">
        <v>18</v>
      </c>
    </row>
    <row r="139" spans="1:6">
      <c r="A139" s="7">
        <v>45689</v>
      </c>
      <c r="B139" t="s">
        <v>92</v>
      </c>
      <c r="C139" t="s">
        <v>20</v>
      </c>
      <c r="D139" s="3">
        <v>56</v>
      </c>
      <c r="E139" s="3">
        <v>51</v>
      </c>
      <c r="F139" s="3">
        <v>5</v>
      </c>
    </row>
    <row r="140" spans="1:6">
      <c r="A140" s="7">
        <v>45689</v>
      </c>
      <c r="B140" t="s">
        <v>93</v>
      </c>
      <c r="C140" t="s">
        <v>20</v>
      </c>
      <c r="D140" s="3">
        <v>67</v>
      </c>
      <c r="E140" s="3">
        <v>44</v>
      </c>
      <c r="F140" s="3">
        <v>23</v>
      </c>
    </row>
    <row r="141" spans="1:6">
      <c r="A141" s="7">
        <v>45689</v>
      </c>
      <c r="B141" t="s">
        <v>94</v>
      </c>
      <c r="C141" t="s">
        <v>20</v>
      </c>
      <c r="D141" s="3">
        <v>48</v>
      </c>
      <c r="E141" s="3">
        <v>50</v>
      </c>
      <c r="F141" s="3">
        <v>-2</v>
      </c>
    </row>
    <row r="142" spans="1:6">
      <c r="A142" s="7">
        <v>45689</v>
      </c>
      <c r="B142" t="s">
        <v>95</v>
      </c>
      <c r="C142" t="s">
        <v>25</v>
      </c>
      <c r="D142" s="3">
        <v>72</v>
      </c>
      <c r="E142" s="3">
        <v>60</v>
      </c>
      <c r="F142" s="3">
        <v>12</v>
      </c>
    </row>
    <row r="143" spans="1:6">
      <c r="A143" s="7">
        <v>45689</v>
      </c>
      <c r="B143" t="s">
        <v>96</v>
      </c>
      <c r="C143" t="s">
        <v>25</v>
      </c>
      <c r="D143" s="3">
        <v>42</v>
      </c>
      <c r="E143" s="3">
        <v>52</v>
      </c>
      <c r="F143" s="3">
        <v>-10</v>
      </c>
    </row>
    <row r="144" spans="1:6">
      <c r="A144" s="7">
        <v>45689</v>
      </c>
      <c r="B144" t="s">
        <v>97</v>
      </c>
      <c r="C144" t="s">
        <v>25</v>
      </c>
      <c r="D144" s="3">
        <v>56</v>
      </c>
      <c r="E144" s="3">
        <v>43</v>
      </c>
      <c r="F144" s="3">
        <v>13</v>
      </c>
    </row>
    <row r="145" spans="1:6">
      <c r="A145" s="7">
        <v>45689</v>
      </c>
      <c r="B145" t="s">
        <v>98</v>
      </c>
      <c r="C145" t="s">
        <v>25</v>
      </c>
      <c r="D145" s="3">
        <v>47</v>
      </c>
      <c r="E145" s="3">
        <v>51</v>
      </c>
      <c r="F145" s="3">
        <v>-4</v>
      </c>
    </row>
    <row r="146" spans="1:6">
      <c r="A146" s="7">
        <v>45717</v>
      </c>
      <c r="B146" t="s">
        <v>12</v>
      </c>
      <c r="C146" t="s">
        <v>15</v>
      </c>
      <c r="D146" s="3">
        <v>67</v>
      </c>
      <c r="E146" s="3">
        <v>81</v>
      </c>
      <c r="F146" s="3">
        <v>-14</v>
      </c>
    </row>
    <row r="147" spans="1:6">
      <c r="A147" s="7">
        <v>45717</v>
      </c>
      <c r="B147" t="s">
        <v>16</v>
      </c>
      <c r="C147" t="s">
        <v>15</v>
      </c>
      <c r="D147" s="3">
        <v>88</v>
      </c>
      <c r="E147" s="3">
        <v>112</v>
      </c>
      <c r="F147" s="3">
        <v>-24</v>
      </c>
    </row>
    <row r="148" spans="1:6">
      <c r="A148" s="7">
        <v>45717</v>
      </c>
      <c r="B148" t="s">
        <v>17</v>
      </c>
      <c r="C148" t="s">
        <v>15</v>
      </c>
      <c r="D148" s="3">
        <v>61</v>
      </c>
      <c r="E148" s="3">
        <v>107</v>
      </c>
      <c r="F148" s="3">
        <v>-46</v>
      </c>
    </row>
    <row r="149" spans="1:6">
      <c r="A149" s="7">
        <v>45717</v>
      </c>
      <c r="B149" t="s">
        <v>18</v>
      </c>
      <c r="C149" t="s">
        <v>15</v>
      </c>
      <c r="D149" s="3">
        <v>80</v>
      </c>
      <c r="E149" s="3">
        <v>102</v>
      </c>
      <c r="F149" s="3">
        <v>-22</v>
      </c>
    </row>
    <row r="150" spans="1:6">
      <c r="A150" s="7">
        <v>45717</v>
      </c>
      <c r="B150" t="s">
        <v>19</v>
      </c>
      <c r="C150" t="s">
        <v>20</v>
      </c>
      <c r="D150" s="3">
        <v>117</v>
      </c>
      <c r="E150" s="3">
        <v>92</v>
      </c>
      <c r="F150" s="3">
        <v>25</v>
      </c>
    </row>
    <row r="151" spans="1:6">
      <c r="A151" s="7">
        <v>45717</v>
      </c>
      <c r="B151" t="s">
        <v>21</v>
      </c>
      <c r="C151" t="s">
        <v>20</v>
      </c>
      <c r="D151" s="3">
        <v>102</v>
      </c>
      <c r="E151" s="3">
        <v>85</v>
      </c>
      <c r="F151" s="3">
        <v>17</v>
      </c>
    </row>
    <row r="152" spans="1:6">
      <c r="A152" s="7">
        <v>45717</v>
      </c>
      <c r="B152" t="s">
        <v>22</v>
      </c>
      <c r="C152" t="s">
        <v>20</v>
      </c>
      <c r="D152" s="3">
        <v>95</v>
      </c>
      <c r="E152" s="3">
        <v>77</v>
      </c>
      <c r="F152" s="3">
        <v>18</v>
      </c>
    </row>
    <row r="153" spans="1:6">
      <c r="A153" s="7">
        <v>45717</v>
      </c>
      <c r="B153" t="s">
        <v>23</v>
      </c>
      <c r="C153" t="s">
        <v>20</v>
      </c>
      <c r="D153" s="3">
        <v>104</v>
      </c>
      <c r="E153" s="3">
        <v>87</v>
      </c>
      <c r="F153" s="3">
        <v>17</v>
      </c>
    </row>
    <row r="154" spans="1:6">
      <c r="A154" s="7">
        <v>45717</v>
      </c>
      <c r="B154" t="s">
        <v>24</v>
      </c>
      <c r="C154" t="s">
        <v>25</v>
      </c>
      <c r="D154" s="3">
        <v>65</v>
      </c>
      <c r="E154" s="3">
        <v>76</v>
      </c>
      <c r="F154" s="3">
        <v>-11</v>
      </c>
    </row>
    <row r="155" spans="1:6">
      <c r="A155" s="7">
        <v>45717</v>
      </c>
      <c r="B155" t="s">
        <v>26</v>
      </c>
      <c r="C155" t="s">
        <v>25</v>
      </c>
      <c r="D155" s="3">
        <v>82</v>
      </c>
      <c r="E155" s="3">
        <v>87</v>
      </c>
      <c r="F155" s="3">
        <v>-5</v>
      </c>
    </row>
    <row r="156" spans="1:6">
      <c r="A156" s="7">
        <v>45717</v>
      </c>
      <c r="B156" t="s">
        <v>27</v>
      </c>
      <c r="C156" t="s">
        <v>25</v>
      </c>
      <c r="D156" s="3">
        <v>90</v>
      </c>
      <c r="E156" s="3">
        <v>80</v>
      </c>
      <c r="F156" s="3">
        <v>10</v>
      </c>
    </row>
    <row r="157" spans="1:6">
      <c r="A157" s="7">
        <v>45717</v>
      </c>
      <c r="B157" t="s">
        <v>28</v>
      </c>
      <c r="C157" t="s">
        <v>25</v>
      </c>
      <c r="D157" s="3">
        <v>55</v>
      </c>
      <c r="E157" s="3">
        <v>84</v>
      </c>
      <c r="F157" s="3">
        <v>-29</v>
      </c>
    </row>
    <row r="158" spans="1:6">
      <c r="A158" s="7">
        <v>45717</v>
      </c>
      <c r="B158" t="s">
        <v>29</v>
      </c>
      <c r="C158" t="s">
        <v>15</v>
      </c>
      <c r="D158" s="3">
        <v>75</v>
      </c>
      <c r="E158" s="3">
        <v>93</v>
      </c>
      <c r="F158" s="3">
        <v>-18</v>
      </c>
    </row>
    <row r="159" spans="1:6">
      <c r="A159" s="7">
        <v>45717</v>
      </c>
      <c r="B159" t="s">
        <v>32</v>
      </c>
      <c r="C159" t="s">
        <v>15</v>
      </c>
      <c r="D159" s="3">
        <v>83</v>
      </c>
      <c r="E159" s="3">
        <v>66</v>
      </c>
      <c r="F159" s="3">
        <v>17</v>
      </c>
    </row>
    <row r="160" spans="1:6">
      <c r="A160" s="7">
        <v>45717</v>
      </c>
      <c r="B160" t="s">
        <v>33</v>
      </c>
      <c r="C160" t="s">
        <v>15</v>
      </c>
      <c r="D160" s="3">
        <v>100</v>
      </c>
      <c r="E160" s="3">
        <v>66</v>
      </c>
      <c r="F160" s="3">
        <v>34</v>
      </c>
    </row>
    <row r="161" spans="1:6">
      <c r="A161" s="7">
        <v>45717</v>
      </c>
      <c r="B161" t="s">
        <v>34</v>
      </c>
      <c r="C161" t="s">
        <v>15</v>
      </c>
      <c r="D161" s="3">
        <v>54</v>
      </c>
      <c r="E161" s="3">
        <v>64</v>
      </c>
      <c r="F161" s="3">
        <v>-10</v>
      </c>
    </row>
    <row r="162" spans="1:6">
      <c r="A162" s="7">
        <v>45717</v>
      </c>
      <c r="B162" t="s">
        <v>35</v>
      </c>
      <c r="C162" t="s">
        <v>20</v>
      </c>
      <c r="D162" s="3">
        <v>59</v>
      </c>
      <c r="E162" s="3">
        <v>70</v>
      </c>
      <c r="F162" s="3">
        <v>-11</v>
      </c>
    </row>
    <row r="163" spans="1:6">
      <c r="A163" s="7">
        <v>45717</v>
      </c>
      <c r="B163" t="s">
        <v>36</v>
      </c>
      <c r="C163" t="s">
        <v>20</v>
      </c>
      <c r="D163" s="3">
        <v>83</v>
      </c>
      <c r="E163" s="3">
        <v>93</v>
      </c>
      <c r="F163" s="3">
        <v>-10</v>
      </c>
    </row>
    <row r="164" spans="1:6">
      <c r="A164" s="7">
        <v>45717</v>
      </c>
      <c r="B164" t="s">
        <v>37</v>
      </c>
      <c r="C164" t="s">
        <v>20</v>
      </c>
      <c r="D164" s="3">
        <v>70</v>
      </c>
      <c r="E164" s="3">
        <v>76</v>
      </c>
      <c r="F164" s="3">
        <v>-6</v>
      </c>
    </row>
    <row r="165" spans="1:6">
      <c r="A165" s="7">
        <v>45717</v>
      </c>
      <c r="B165" t="s">
        <v>38</v>
      </c>
      <c r="C165" t="s">
        <v>20</v>
      </c>
      <c r="D165" s="3">
        <v>77</v>
      </c>
      <c r="E165" s="3">
        <v>93</v>
      </c>
      <c r="F165" s="3">
        <v>-16</v>
      </c>
    </row>
    <row r="166" spans="1:6">
      <c r="A166" s="7">
        <v>45717</v>
      </c>
      <c r="B166" t="s">
        <v>39</v>
      </c>
      <c r="C166" t="s">
        <v>25</v>
      </c>
      <c r="D166" s="3">
        <v>68</v>
      </c>
      <c r="E166" s="3">
        <v>81</v>
      </c>
      <c r="F166" s="3">
        <v>-13</v>
      </c>
    </row>
    <row r="167" spans="1:6">
      <c r="A167" s="7">
        <v>45717</v>
      </c>
      <c r="B167" t="s">
        <v>40</v>
      </c>
      <c r="C167" t="s">
        <v>25</v>
      </c>
      <c r="D167" s="3">
        <v>68</v>
      </c>
      <c r="E167" s="3">
        <v>84</v>
      </c>
      <c r="F167" s="3">
        <v>-16</v>
      </c>
    </row>
    <row r="168" spans="1:6">
      <c r="A168" s="7">
        <v>45717</v>
      </c>
      <c r="B168" t="s">
        <v>41</v>
      </c>
      <c r="C168" t="s">
        <v>25</v>
      </c>
      <c r="D168" s="3">
        <v>87</v>
      </c>
      <c r="E168" s="3">
        <v>87</v>
      </c>
      <c r="F168" s="3">
        <v>0</v>
      </c>
    </row>
    <row r="169" spans="1:6">
      <c r="A169" s="7">
        <v>45717</v>
      </c>
      <c r="B169" t="s">
        <v>42</v>
      </c>
      <c r="C169" t="s">
        <v>25</v>
      </c>
      <c r="D169" s="3">
        <v>89</v>
      </c>
      <c r="E169" s="3">
        <v>62</v>
      </c>
      <c r="F169" s="3">
        <v>27</v>
      </c>
    </row>
    <row r="170" spans="1:6">
      <c r="A170" s="7">
        <v>45717</v>
      </c>
      <c r="B170" t="s">
        <v>43</v>
      </c>
      <c r="C170" t="s">
        <v>15</v>
      </c>
      <c r="D170" s="3">
        <v>65</v>
      </c>
      <c r="E170" s="3">
        <v>75</v>
      </c>
      <c r="F170" s="3">
        <v>-10</v>
      </c>
    </row>
    <row r="171" spans="1:6">
      <c r="A171" s="7">
        <v>45717</v>
      </c>
      <c r="B171" t="s">
        <v>46</v>
      </c>
      <c r="C171" t="s">
        <v>15</v>
      </c>
      <c r="D171" s="3">
        <v>91</v>
      </c>
      <c r="E171" s="3">
        <v>76</v>
      </c>
      <c r="F171" s="3">
        <v>15</v>
      </c>
    </row>
    <row r="172" spans="1:6">
      <c r="A172" s="7">
        <v>45717</v>
      </c>
      <c r="B172" t="s">
        <v>47</v>
      </c>
      <c r="C172" t="s">
        <v>15</v>
      </c>
      <c r="D172" s="3">
        <v>74</v>
      </c>
      <c r="E172" s="3">
        <v>64</v>
      </c>
      <c r="F172" s="3">
        <v>10</v>
      </c>
    </row>
    <row r="173" spans="1:6">
      <c r="A173" s="7">
        <v>45717</v>
      </c>
      <c r="B173" t="s">
        <v>48</v>
      </c>
      <c r="C173" t="s">
        <v>15</v>
      </c>
      <c r="D173" s="3">
        <v>108</v>
      </c>
      <c r="E173" s="3">
        <v>104</v>
      </c>
      <c r="F173" s="3">
        <v>4</v>
      </c>
    </row>
    <row r="174" spans="1:6">
      <c r="A174" s="7">
        <v>45717</v>
      </c>
      <c r="B174" t="s">
        <v>49</v>
      </c>
      <c r="C174" t="s">
        <v>20</v>
      </c>
      <c r="D174" s="3">
        <v>53</v>
      </c>
      <c r="E174" s="3">
        <v>104</v>
      </c>
      <c r="F174" s="3">
        <v>-51</v>
      </c>
    </row>
    <row r="175" spans="1:6">
      <c r="A175" s="7">
        <v>45717</v>
      </c>
      <c r="B175" t="s">
        <v>50</v>
      </c>
      <c r="C175" t="s">
        <v>20</v>
      </c>
      <c r="D175" s="3">
        <v>86</v>
      </c>
      <c r="E175" s="3">
        <v>78</v>
      </c>
      <c r="F175" s="3">
        <v>8</v>
      </c>
    </row>
    <row r="176" spans="1:6">
      <c r="A176" s="7">
        <v>45717</v>
      </c>
      <c r="B176" t="s">
        <v>51</v>
      </c>
      <c r="C176" t="s">
        <v>20</v>
      </c>
      <c r="D176" s="3">
        <v>57</v>
      </c>
      <c r="E176" s="3">
        <v>101</v>
      </c>
      <c r="F176" s="3">
        <v>-44</v>
      </c>
    </row>
    <row r="177" spans="1:6">
      <c r="A177" s="7">
        <v>45717</v>
      </c>
      <c r="B177" t="s">
        <v>52</v>
      </c>
      <c r="C177" t="s">
        <v>20</v>
      </c>
      <c r="D177" s="3">
        <v>97</v>
      </c>
      <c r="E177" s="3">
        <v>77</v>
      </c>
      <c r="F177" s="3">
        <v>20</v>
      </c>
    </row>
    <row r="178" spans="1:6">
      <c r="A178" s="7">
        <v>45717</v>
      </c>
      <c r="B178" t="s">
        <v>53</v>
      </c>
      <c r="C178" t="s">
        <v>25</v>
      </c>
      <c r="D178" s="3">
        <v>118</v>
      </c>
      <c r="E178" s="3">
        <v>78</v>
      </c>
      <c r="F178" s="3">
        <v>40</v>
      </c>
    </row>
    <row r="179" spans="1:6">
      <c r="A179" s="7">
        <v>45717</v>
      </c>
      <c r="B179" t="s">
        <v>54</v>
      </c>
      <c r="C179" t="s">
        <v>25</v>
      </c>
      <c r="D179" s="3">
        <v>115</v>
      </c>
      <c r="E179" s="3">
        <v>80</v>
      </c>
      <c r="F179" s="3">
        <v>35</v>
      </c>
    </row>
    <row r="180" spans="1:6">
      <c r="A180" s="7">
        <v>45717</v>
      </c>
      <c r="B180" t="s">
        <v>55</v>
      </c>
      <c r="C180" t="s">
        <v>25</v>
      </c>
      <c r="D180" s="3">
        <v>68</v>
      </c>
      <c r="E180" s="3">
        <v>88</v>
      </c>
      <c r="F180" s="3">
        <v>-20</v>
      </c>
    </row>
    <row r="181" spans="1:6">
      <c r="A181" s="7">
        <v>45717</v>
      </c>
      <c r="B181" t="s">
        <v>56</v>
      </c>
      <c r="C181" t="s">
        <v>25</v>
      </c>
      <c r="D181" s="3">
        <v>72</v>
      </c>
      <c r="E181" s="3">
        <v>97</v>
      </c>
      <c r="F181" s="3">
        <v>-25</v>
      </c>
    </row>
    <row r="182" spans="1:6">
      <c r="A182" s="7">
        <v>45717</v>
      </c>
      <c r="B182" t="s">
        <v>57</v>
      </c>
      <c r="C182" t="s">
        <v>15</v>
      </c>
      <c r="D182" s="3">
        <v>138</v>
      </c>
      <c r="E182" s="3">
        <v>138</v>
      </c>
      <c r="F182" s="3">
        <v>0</v>
      </c>
    </row>
    <row r="183" spans="1:6">
      <c r="A183" s="7">
        <v>45717</v>
      </c>
      <c r="B183" t="s">
        <v>60</v>
      </c>
      <c r="C183" t="s">
        <v>15</v>
      </c>
      <c r="D183" s="3">
        <v>185</v>
      </c>
      <c r="E183" s="3">
        <v>148</v>
      </c>
      <c r="F183" s="3">
        <v>37</v>
      </c>
    </row>
    <row r="184" spans="1:6">
      <c r="A184" s="7">
        <v>45717</v>
      </c>
      <c r="B184" t="s">
        <v>61</v>
      </c>
      <c r="C184" t="s">
        <v>15</v>
      </c>
      <c r="D184" s="3">
        <v>129</v>
      </c>
      <c r="E184" s="3">
        <v>147</v>
      </c>
      <c r="F184" s="3">
        <v>-18</v>
      </c>
    </row>
    <row r="185" spans="1:6">
      <c r="A185" s="7">
        <v>45717</v>
      </c>
      <c r="B185" t="s">
        <v>62</v>
      </c>
      <c r="C185" t="s">
        <v>15</v>
      </c>
      <c r="D185" s="3">
        <v>140</v>
      </c>
      <c r="E185" s="3">
        <v>154</v>
      </c>
      <c r="F185" s="3">
        <v>-14</v>
      </c>
    </row>
    <row r="186" spans="1:6">
      <c r="A186" s="7">
        <v>45717</v>
      </c>
      <c r="B186" t="s">
        <v>63</v>
      </c>
      <c r="C186" t="s">
        <v>20</v>
      </c>
      <c r="D186" s="3">
        <v>169</v>
      </c>
      <c r="E186" s="3">
        <v>108</v>
      </c>
      <c r="F186" s="3">
        <v>61</v>
      </c>
    </row>
    <row r="187" spans="1:6">
      <c r="A187" s="7">
        <v>45717</v>
      </c>
      <c r="B187" t="s">
        <v>64</v>
      </c>
      <c r="C187" t="s">
        <v>20</v>
      </c>
      <c r="D187" s="3">
        <v>113</v>
      </c>
      <c r="E187" s="3">
        <v>138</v>
      </c>
      <c r="F187" s="3">
        <v>-25</v>
      </c>
    </row>
    <row r="188" spans="1:6">
      <c r="A188" s="7">
        <v>45717</v>
      </c>
      <c r="B188" t="s">
        <v>65</v>
      </c>
      <c r="C188" t="s">
        <v>20</v>
      </c>
      <c r="D188" s="3">
        <v>153</v>
      </c>
      <c r="E188" s="3">
        <v>170</v>
      </c>
      <c r="F188" s="3">
        <v>-17</v>
      </c>
    </row>
    <row r="189" spans="1:6">
      <c r="A189" s="7">
        <v>45717</v>
      </c>
      <c r="B189" t="s">
        <v>66</v>
      </c>
      <c r="C189" t="s">
        <v>20</v>
      </c>
      <c r="D189" s="3">
        <v>170</v>
      </c>
      <c r="E189" s="3">
        <v>109</v>
      </c>
      <c r="F189" s="3">
        <v>61</v>
      </c>
    </row>
    <row r="190" spans="1:6">
      <c r="A190" s="7">
        <v>45717</v>
      </c>
      <c r="B190" t="s">
        <v>67</v>
      </c>
      <c r="C190" t="s">
        <v>25</v>
      </c>
      <c r="D190" s="3">
        <v>141</v>
      </c>
      <c r="E190" s="3">
        <v>114</v>
      </c>
      <c r="F190" s="3">
        <v>27</v>
      </c>
    </row>
    <row r="191" spans="1:6">
      <c r="A191" s="7">
        <v>45717</v>
      </c>
      <c r="B191" t="s">
        <v>68</v>
      </c>
      <c r="C191" t="s">
        <v>25</v>
      </c>
      <c r="D191" s="3">
        <v>145</v>
      </c>
      <c r="E191" s="3">
        <v>118</v>
      </c>
      <c r="F191" s="3">
        <v>27</v>
      </c>
    </row>
    <row r="192" spans="1:6">
      <c r="A192" s="7">
        <v>45717</v>
      </c>
      <c r="B192" t="s">
        <v>69</v>
      </c>
      <c r="C192" t="s">
        <v>25</v>
      </c>
      <c r="D192" s="3">
        <v>87</v>
      </c>
      <c r="E192" s="3">
        <v>139</v>
      </c>
      <c r="F192" s="3">
        <v>-52</v>
      </c>
    </row>
    <row r="193" spans="1:6">
      <c r="A193" s="7">
        <v>45717</v>
      </c>
      <c r="B193" t="s">
        <v>70</v>
      </c>
      <c r="C193" t="s">
        <v>25</v>
      </c>
      <c r="D193" s="3">
        <v>141</v>
      </c>
      <c r="E193" s="3">
        <v>134</v>
      </c>
      <c r="F193" s="3">
        <v>7</v>
      </c>
    </row>
    <row r="194" spans="1:6">
      <c r="A194" s="7">
        <v>45717</v>
      </c>
      <c r="B194" t="s">
        <v>71</v>
      </c>
      <c r="C194" t="s">
        <v>15</v>
      </c>
      <c r="D194" s="3">
        <v>59</v>
      </c>
      <c r="E194" s="3">
        <v>59</v>
      </c>
      <c r="F194" s="3">
        <v>0</v>
      </c>
    </row>
    <row r="195" spans="1:6">
      <c r="A195" s="7">
        <v>45717</v>
      </c>
      <c r="B195" t="s">
        <v>74</v>
      </c>
      <c r="C195" t="s">
        <v>15</v>
      </c>
      <c r="D195" s="3">
        <v>37</v>
      </c>
      <c r="E195" s="3">
        <v>68</v>
      </c>
      <c r="F195" s="3">
        <v>-31</v>
      </c>
    </row>
    <row r="196" spans="1:6">
      <c r="A196" s="7">
        <v>45717</v>
      </c>
      <c r="B196" t="s">
        <v>75</v>
      </c>
      <c r="C196" t="s">
        <v>15</v>
      </c>
      <c r="D196" s="3">
        <v>74</v>
      </c>
      <c r="E196" s="3">
        <v>67</v>
      </c>
      <c r="F196" s="3">
        <v>7</v>
      </c>
    </row>
    <row r="197" spans="1:6">
      <c r="A197" s="7">
        <v>45717</v>
      </c>
      <c r="B197" t="s">
        <v>76</v>
      </c>
      <c r="C197" t="s">
        <v>15</v>
      </c>
      <c r="D197" s="3">
        <v>44</v>
      </c>
      <c r="E197" s="3">
        <v>57</v>
      </c>
      <c r="F197" s="3">
        <v>-13</v>
      </c>
    </row>
    <row r="198" spans="1:6">
      <c r="A198" s="7">
        <v>45717</v>
      </c>
      <c r="B198" t="s">
        <v>77</v>
      </c>
      <c r="C198" t="s">
        <v>20</v>
      </c>
      <c r="D198" s="3">
        <v>59</v>
      </c>
      <c r="E198" s="3">
        <v>54</v>
      </c>
      <c r="F198" s="3">
        <v>5</v>
      </c>
    </row>
    <row r="199" spans="1:6">
      <c r="A199" s="7">
        <v>45717</v>
      </c>
      <c r="B199" t="s">
        <v>78</v>
      </c>
      <c r="C199" t="s">
        <v>20</v>
      </c>
      <c r="D199" s="3">
        <v>75</v>
      </c>
      <c r="E199" s="3">
        <v>66</v>
      </c>
      <c r="F199" s="3">
        <v>9</v>
      </c>
    </row>
    <row r="200" spans="1:6">
      <c r="A200" s="7">
        <v>45717</v>
      </c>
      <c r="B200" t="s">
        <v>79</v>
      </c>
      <c r="C200" t="s">
        <v>20</v>
      </c>
      <c r="D200" s="3">
        <v>76</v>
      </c>
      <c r="E200" s="3">
        <v>56</v>
      </c>
      <c r="F200" s="3">
        <v>20</v>
      </c>
    </row>
    <row r="201" spans="1:6">
      <c r="A201" s="7">
        <v>45717</v>
      </c>
      <c r="B201" t="s">
        <v>80</v>
      </c>
      <c r="C201" t="s">
        <v>20</v>
      </c>
      <c r="D201" s="3">
        <v>64</v>
      </c>
      <c r="E201" s="3">
        <v>64</v>
      </c>
      <c r="F201" s="3">
        <v>0</v>
      </c>
    </row>
    <row r="202" spans="1:6">
      <c r="A202" s="7">
        <v>45717</v>
      </c>
      <c r="B202" t="s">
        <v>81</v>
      </c>
      <c r="C202" t="s">
        <v>25</v>
      </c>
      <c r="D202" s="3">
        <v>57</v>
      </c>
      <c r="E202" s="3">
        <v>70</v>
      </c>
      <c r="F202" s="3">
        <v>-13</v>
      </c>
    </row>
    <row r="203" spans="1:6">
      <c r="A203" s="7">
        <v>45717</v>
      </c>
      <c r="B203" t="s">
        <v>82</v>
      </c>
      <c r="C203" t="s">
        <v>25</v>
      </c>
      <c r="D203" s="3">
        <v>42</v>
      </c>
      <c r="E203" s="3">
        <v>54</v>
      </c>
      <c r="F203" s="3">
        <v>-12</v>
      </c>
    </row>
    <row r="204" spans="1:6">
      <c r="A204" s="7">
        <v>45717</v>
      </c>
      <c r="B204" t="s">
        <v>83</v>
      </c>
      <c r="C204" t="s">
        <v>25</v>
      </c>
      <c r="D204" s="3">
        <v>69</v>
      </c>
      <c r="E204" s="3">
        <v>72</v>
      </c>
      <c r="F204" s="3">
        <v>-3</v>
      </c>
    </row>
    <row r="205" spans="1:6">
      <c r="A205" s="7">
        <v>45717</v>
      </c>
      <c r="B205" t="s">
        <v>84</v>
      </c>
      <c r="C205" t="s">
        <v>25</v>
      </c>
      <c r="D205" s="3">
        <v>63</v>
      </c>
      <c r="E205" s="3">
        <v>64</v>
      </c>
      <c r="F205" s="3">
        <v>-1</v>
      </c>
    </row>
    <row r="206" spans="1:6">
      <c r="A206" s="7">
        <v>45717</v>
      </c>
      <c r="B206" t="s">
        <v>85</v>
      </c>
      <c r="C206" t="s">
        <v>15</v>
      </c>
      <c r="D206" s="3">
        <v>51</v>
      </c>
      <c r="E206" s="3">
        <v>47</v>
      </c>
      <c r="F206" s="3">
        <v>4</v>
      </c>
    </row>
    <row r="207" spans="1:6">
      <c r="A207" s="7">
        <v>45717</v>
      </c>
      <c r="B207" t="s">
        <v>88</v>
      </c>
      <c r="C207" t="s">
        <v>15</v>
      </c>
      <c r="D207" s="3">
        <v>45</v>
      </c>
      <c r="E207" s="3">
        <v>40</v>
      </c>
      <c r="F207" s="3">
        <v>5</v>
      </c>
    </row>
    <row r="208" spans="1:6">
      <c r="A208" s="7">
        <v>45717</v>
      </c>
      <c r="B208" t="s">
        <v>89</v>
      </c>
      <c r="C208" t="s">
        <v>15</v>
      </c>
      <c r="D208" s="3">
        <v>70</v>
      </c>
      <c r="E208" s="3">
        <v>47</v>
      </c>
      <c r="F208" s="3">
        <v>23</v>
      </c>
    </row>
    <row r="209" spans="1:6">
      <c r="A209" s="7">
        <v>45717</v>
      </c>
      <c r="B209" t="s">
        <v>90</v>
      </c>
      <c r="C209" t="s">
        <v>15</v>
      </c>
      <c r="D209" s="3">
        <v>44</v>
      </c>
      <c r="E209" s="3">
        <v>63</v>
      </c>
      <c r="F209" s="3">
        <v>-19</v>
      </c>
    </row>
    <row r="210" spans="1:6">
      <c r="A210" s="7">
        <v>45717</v>
      </c>
      <c r="B210" t="s">
        <v>91</v>
      </c>
      <c r="C210" t="s">
        <v>20</v>
      </c>
      <c r="D210" s="3">
        <v>56</v>
      </c>
      <c r="E210" s="3">
        <v>51</v>
      </c>
      <c r="F210" s="3">
        <v>5</v>
      </c>
    </row>
    <row r="211" spans="1:6">
      <c r="A211" s="7">
        <v>45717</v>
      </c>
      <c r="B211" t="s">
        <v>92</v>
      </c>
      <c r="C211" t="s">
        <v>20</v>
      </c>
      <c r="D211" s="3">
        <v>34</v>
      </c>
      <c r="E211" s="3">
        <v>49</v>
      </c>
      <c r="F211" s="3">
        <v>-15</v>
      </c>
    </row>
    <row r="212" spans="1:6">
      <c r="A212" s="7">
        <v>45717</v>
      </c>
      <c r="B212" t="s">
        <v>93</v>
      </c>
      <c r="C212" t="s">
        <v>20</v>
      </c>
      <c r="D212" s="3">
        <v>60</v>
      </c>
      <c r="E212" s="3">
        <v>42</v>
      </c>
      <c r="F212" s="3">
        <v>18</v>
      </c>
    </row>
    <row r="213" spans="1:6">
      <c r="A213" s="7">
        <v>45717</v>
      </c>
      <c r="B213" t="s">
        <v>94</v>
      </c>
      <c r="C213" t="s">
        <v>20</v>
      </c>
      <c r="D213" s="3">
        <v>48</v>
      </c>
      <c r="E213" s="3">
        <v>38</v>
      </c>
      <c r="F213" s="3">
        <v>10</v>
      </c>
    </row>
    <row r="214" spans="1:6">
      <c r="A214" s="7">
        <v>45717</v>
      </c>
      <c r="B214" t="s">
        <v>95</v>
      </c>
      <c r="C214" t="s">
        <v>25</v>
      </c>
      <c r="D214" s="3">
        <v>63</v>
      </c>
      <c r="E214" s="3">
        <v>46</v>
      </c>
      <c r="F214" s="3">
        <v>17</v>
      </c>
    </row>
    <row r="215" spans="1:6">
      <c r="A215" s="7">
        <v>45717</v>
      </c>
      <c r="B215" t="s">
        <v>96</v>
      </c>
      <c r="C215" t="s">
        <v>25</v>
      </c>
      <c r="D215" s="3">
        <v>31</v>
      </c>
      <c r="E215" s="3">
        <v>41</v>
      </c>
      <c r="F215" s="3">
        <v>-10</v>
      </c>
    </row>
    <row r="216" spans="1:6">
      <c r="A216" s="7">
        <v>45717</v>
      </c>
      <c r="B216" t="s">
        <v>97</v>
      </c>
      <c r="C216" t="s">
        <v>25</v>
      </c>
      <c r="D216" s="3">
        <v>59</v>
      </c>
      <c r="E216" s="3">
        <v>37</v>
      </c>
      <c r="F216" s="3">
        <v>22</v>
      </c>
    </row>
    <row r="217" spans="1:6">
      <c r="A217" s="7">
        <v>45717</v>
      </c>
      <c r="B217" t="s">
        <v>98</v>
      </c>
      <c r="C217" t="s">
        <v>25</v>
      </c>
      <c r="D217" s="3">
        <v>51</v>
      </c>
      <c r="E217" s="3">
        <v>61</v>
      </c>
      <c r="F217" s="3">
        <v>-10</v>
      </c>
    </row>
    <row r="218" spans="1:6">
      <c r="A218" s="7">
        <v>45748</v>
      </c>
      <c r="B218" t="s">
        <v>12</v>
      </c>
      <c r="C218" t="s">
        <v>15</v>
      </c>
      <c r="D218" s="3">
        <v>89</v>
      </c>
      <c r="E218" s="3">
        <v>66</v>
      </c>
      <c r="F218" s="3">
        <v>23</v>
      </c>
    </row>
    <row r="219" spans="1:6">
      <c r="A219" s="7">
        <v>45748</v>
      </c>
      <c r="B219" t="s">
        <v>16</v>
      </c>
      <c r="C219" t="s">
        <v>15</v>
      </c>
      <c r="D219" s="3">
        <v>107</v>
      </c>
      <c r="E219" s="3">
        <v>90</v>
      </c>
      <c r="F219" s="3">
        <v>17</v>
      </c>
    </row>
    <row r="220" spans="1:6">
      <c r="A220" s="7">
        <v>45748</v>
      </c>
      <c r="B220" t="s">
        <v>17</v>
      </c>
      <c r="C220" t="s">
        <v>15</v>
      </c>
      <c r="D220" s="3">
        <v>79</v>
      </c>
      <c r="E220" s="3">
        <v>91</v>
      </c>
      <c r="F220" s="3">
        <v>-12</v>
      </c>
    </row>
    <row r="221" spans="1:6">
      <c r="A221" s="7">
        <v>45748</v>
      </c>
      <c r="B221" t="s">
        <v>18</v>
      </c>
      <c r="C221" t="s">
        <v>15</v>
      </c>
      <c r="D221" s="3">
        <v>59</v>
      </c>
      <c r="E221" s="3">
        <v>89</v>
      </c>
      <c r="F221" s="3">
        <v>-30</v>
      </c>
    </row>
    <row r="222" spans="1:6">
      <c r="A222" s="7">
        <v>45748</v>
      </c>
      <c r="B222" t="s">
        <v>19</v>
      </c>
      <c r="C222" t="s">
        <v>20</v>
      </c>
      <c r="D222" s="3">
        <v>101</v>
      </c>
      <c r="E222" s="3">
        <v>98</v>
      </c>
      <c r="F222" s="3">
        <v>3</v>
      </c>
    </row>
    <row r="223" spans="1:6">
      <c r="A223" s="7">
        <v>45748</v>
      </c>
      <c r="B223" t="s">
        <v>21</v>
      </c>
      <c r="C223" t="s">
        <v>20</v>
      </c>
      <c r="D223" s="3">
        <v>96</v>
      </c>
      <c r="E223" s="3">
        <v>87</v>
      </c>
      <c r="F223" s="3">
        <v>9</v>
      </c>
    </row>
    <row r="224" spans="1:6">
      <c r="A224" s="7">
        <v>45748</v>
      </c>
      <c r="B224" t="s">
        <v>22</v>
      </c>
      <c r="C224" t="s">
        <v>20</v>
      </c>
      <c r="D224" s="3">
        <v>110</v>
      </c>
      <c r="E224" s="3">
        <v>75</v>
      </c>
      <c r="F224" s="3">
        <v>35</v>
      </c>
    </row>
    <row r="225" spans="1:6">
      <c r="A225" s="7">
        <v>45748</v>
      </c>
      <c r="B225" t="s">
        <v>23</v>
      </c>
      <c r="C225" t="s">
        <v>20</v>
      </c>
      <c r="D225" s="3">
        <v>111</v>
      </c>
      <c r="E225" s="3">
        <v>99</v>
      </c>
      <c r="F225" s="3">
        <v>12</v>
      </c>
    </row>
    <row r="226" spans="1:6">
      <c r="A226" s="7">
        <v>45748</v>
      </c>
      <c r="B226" t="s">
        <v>24</v>
      </c>
      <c r="C226" t="s">
        <v>25</v>
      </c>
      <c r="D226" s="3">
        <v>85</v>
      </c>
      <c r="E226" s="3">
        <v>92</v>
      </c>
      <c r="F226" s="3">
        <v>-7</v>
      </c>
    </row>
    <row r="227" spans="1:6">
      <c r="A227" s="7">
        <v>45748</v>
      </c>
      <c r="B227" t="s">
        <v>26</v>
      </c>
      <c r="C227" t="s">
        <v>25</v>
      </c>
      <c r="D227" s="3">
        <v>98</v>
      </c>
      <c r="E227" s="3">
        <v>98</v>
      </c>
      <c r="F227" s="3">
        <v>0</v>
      </c>
    </row>
    <row r="228" spans="1:6">
      <c r="A228" s="7">
        <v>45748</v>
      </c>
      <c r="B228" t="s">
        <v>27</v>
      </c>
      <c r="C228" t="s">
        <v>25</v>
      </c>
      <c r="D228" s="3">
        <v>91</v>
      </c>
      <c r="E228" s="3">
        <v>86</v>
      </c>
      <c r="F228" s="3">
        <v>5</v>
      </c>
    </row>
    <row r="229" spans="1:6">
      <c r="A229" s="7">
        <v>45748</v>
      </c>
      <c r="B229" t="s">
        <v>28</v>
      </c>
      <c r="C229" t="s">
        <v>25</v>
      </c>
      <c r="D229" s="3">
        <v>100</v>
      </c>
      <c r="E229" s="3">
        <v>89</v>
      </c>
      <c r="F229" s="3">
        <v>11</v>
      </c>
    </row>
    <row r="230" spans="1:6">
      <c r="A230" s="7">
        <v>45748</v>
      </c>
      <c r="B230" t="s">
        <v>29</v>
      </c>
      <c r="C230" t="s">
        <v>15</v>
      </c>
      <c r="D230" s="3">
        <v>58</v>
      </c>
      <c r="E230" s="3">
        <v>75</v>
      </c>
      <c r="F230" s="3">
        <v>-17</v>
      </c>
    </row>
    <row r="231" spans="1:6">
      <c r="A231" s="7">
        <v>45748</v>
      </c>
      <c r="B231" t="s">
        <v>32</v>
      </c>
      <c r="C231" t="s">
        <v>15</v>
      </c>
      <c r="D231" s="3">
        <v>53</v>
      </c>
      <c r="E231" s="3">
        <v>68</v>
      </c>
      <c r="F231" s="3">
        <v>-15</v>
      </c>
    </row>
    <row r="232" spans="1:6">
      <c r="A232" s="7">
        <v>45748</v>
      </c>
      <c r="B232" t="s">
        <v>33</v>
      </c>
      <c r="C232" t="s">
        <v>15</v>
      </c>
      <c r="D232" s="3">
        <v>52</v>
      </c>
      <c r="E232" s="3">
        <v>80</v>
      </c>
      <c r="F232" s="3">
        <v>-28</v>
      </c>
    </row>
    <row r="233" spans="1:6">
      <c r="A233" s="7">
        <v>45748</v>
      </c>
      <c r="B233" t="s">
        <v>34</v>
      </c>
      <c r="C233" t="s">
        <v>15</v>
      </c>
      <c r="D233" s="3">
        <v>70</v>
      </c>
      <c r="E233" s="3">
        <v>84</v>
      </c>
      <c r="F233" s="3">
        <v>-14</v>
      </c>
    </row>
    <row r="234" spans="1:6">
      <c r="A234" s="7">
        <v>45748</v>
      </c>
      <c r="B234" t="s">
        <v>35</v>
      </c>
      <c r="C234" t="s">
        <v>20</v>
      </c>
      <c r="D234" s="3">
        <v>69</v>
      </c>
      <c r="E234" s="3">
        <v>82</v>
      </c>
      <c r="F234" s="3">
        <v>-13</v>
      </c>
    </row>
    <row r="235" spans="1:6">
      <c r="A235" s="7">
        <v>45748</v>
      </c>
      <c r="B235" t="s">
        <v>36</v>
      </c>
      <c r="C235" t="s">
        <v>20</v>
      </c>
      <c r="D235" s="3">
        <v>58</v>
      </c>
      <c r="E235" s="3">
        <v>72</v>
      </c>
      <c r="F235" s="3">
        <v>-14</v>
      </c>
    </row>
    <row r="236" spans="1:6">
      <c r="A236" s="7">
        <v>45748</v>
      </c>
      <c r="B236" t="s">
        <v>37</v>
      </c>
      <c r="C236" t="s">
        <v>20</v>
      </c>
      <c r="D236" s="3">
        <v>101</v>
      </c>
      <c r="E236" s="3">
        <v>90</v>
      </c>
      <c r="F236" s="3">
        <v>11</v>
      </c>
    </row>
    <row r="237" spans="1:6">
      <c r="A237" s="7">
        <v>45748</v>
      </c>
      <c r="B237" t="s">
        <v>38</v>
      </c>
      <c r="C237" t="s">
        <v>20</v>
      </c>
      <c r="D237" s="3">
        <v>63</v>
      </c>
      <c r="E237" s="3">
        <v>79</v>
      </c>
      <c r="F237" s="3">
        <v>-16</v>
      </c>
    </row>
    <row r="238" spans="1:6">
      <c r="A238" s="7">
        <v>45748</v>
      </c>
      <c r="B238" t="s">
        <v>39</v>
      </c>
      <c r="C238" t="s">
        <v>25</v>
      </c>
      <c r="D238" s="3">
        <v>82</v>
      </c>
      <c r="E238" s="3">
        <v>60</v>
      </c>
      <c r="F238" s="3">
        <v>22</v>
      </c>
    </row>
    <row r="239" spans="1:6">
      <c r="A239" s="7">
        <v>45748</v>
      </c>
      <c r="B239" t="s">
        <v>40</v>
      </c>
      <c r="C239" t="s">
        <v>25</v>
      </c>
      <c r="D239" s="3">
        <v>92</v>
      </c>
      <c r="E239" s="3">
        <v>88</v>
      </c>
      <c r="F239" s="3">
        <v>4</v>
      </c>
    </row>
    <row r="240" spans="1:6">
      <c r="A240" s="7">
        <v>45748</v>
      </c>
      <c r="B240" t="s">
        <v>41</v>
      </c>
      <c r="C240" t="s">
        <v>25</v>
      </c>
      <c r="D240" s="3">
        <v>107</v>
      </c>
      <c r="E240" s="3">
        <v>94</v>
      </c>
      <c r="F240" s="3">
        <v>13</v>
      </c>
    </row>
    <row r="241" spans="1:6">
      <c r="A241" s="7">
        <v>45748</v>
      </c>
      <c r="B241" t="s">
        <v>42</v>
      </c>
      <c r="C241" t="s">
        <v>25</v>
      </c>
      <c r="D241" s="3">
        <v>85</v>
      </c>
      <c r="E241" s="3">
        <v>62</v>
      </c>
      <c r="F241" s="3">
        <v>23</v>
      </c>
    </row>
    <row r="242" spans="1:6">
      <c r="A242" s="7">
        <v>45748</v>
      </c>
      <c r="B242" t="s">
        <v>43</v>
      </c>
      <c r="C242" t="s">
        <v>15</v>
      </c>
      <c r="D242" s="3">
        <v>106</v>
      </c>
      <c r="E242" s="3">
        <v>77</v>
      </c>
      <c r="F242" s="3">
        <v>29</v>
      </c>
    </row>
    <row r="243" spans="1:6">
      <c r="A243" s="7">
        <v>45748</v>
      </c>
      <c r="B243" t="s">
        <v>46</v>
      </c>
      <c r="C243" t="s">
        <v>15</v>
      </c>
      <c r="D243" s="3">
        <v>61</v>
      </c>
      <c r="E243" s="3">
        <v>84</v>
      </c>
      <c r="F243" s="3">
        <v>-23</v>
      </c>
    </row>
    <row r="244" spans="1:6">
      <c r="A244" s="7">
        <v>45748</v>
      </c>
      <c r="B244" t="s">
        <v>47</v>
      </c>
      <c r="C244" t="s">
        <v>15</v>
      </c>
      <c r="D244" s="3">
        <v>74</v>
      </c>
      <c r="E244" s="3">
        <v>74</v>
      </c>
      <c r="F244" s="3">
        <v>0</v>
      </c>
    </row>
    <row r="245" spans="1:6">
      <c r="A245" s="7">
        <v>45748</v>
      </c>
      <c r="B245" t="s">
        <v>48</v>
      </c>
      <c r="C245" t="s">
        <v>15</v>
      </c>
      <c r="D245" s="3">
        <v>114</v>
      </c>
      <c r="E245" s="3">
        <v>100</v>
      </c>
      <c r="F245" s="3">
        <v>14</v>
      </c>
    </row>
    <row r="246" spans="1:6">
      <c r="A246" s="7">
        <v>45748</v>
      </c>
      <c r="B246" t="s">
        <v>49</v>
      </c>
      <c r="C246" t="s">
        <v>20</v>
      </c>
      <c r="D246" s="3">
        <v>73</v>
      </c>
      <c r="E246" s="3">
        <v>100</v>
      </c>
      <c r="F246" s="3">
        <v>-27</v>
      </c>
    </row>
    <row r="247" spans="1:6">
      <c r="A247" s="7">
        <v>45748</v>
      </c>
      <c r="B247" t="s">
        <v>50</v>
      </c>
      <c r="C247" t="s">
        <v>20</v>
      </c>
      <c r="D247" s="3">
        <v>121</v>
      </c>
      <c r="E247" s="3">
        <v>95</v>
      </c>
      <c r="F247" s="3">
        <v>26</v>
      </c>
    </row>
    <row r="248" spans="1:6">
      <c r="A248" s="7">
        <v>45748</v>
      </c>
      <c r="B248" t="s">
        <v>51</v>
      </c>
      <c r="C248" t="s">
        <v>20</v>
      </c>
      <c r="D248" s="3">
        <v>71</v>
      </c>
      <c r="E248" s="3">
        <v>95</v>
      </c>
      <c r="F248" s="3">
        <v>-24</v>
      </c>
    </row>
    <row r="249" spans="1:6">
      <c r="A249" s="7">
        <v>45748</v>
      </c>
      <c r="B249" t="s">
        <v>52</v>
      </c>
      <c r="C249" t="s">
        <v>20</v>
      </c>
      <c r="D249" s="3">
        <v>82</v>
      </c>
      <c r="E249" s="3">
        <v>74</v>
      </c>
      <c r="F249" s="3">
        <v>8</v>
      </c>
    </row>
    <row r="250" spans="1:6">
      <c r="A250" s="7">
        <v>45748</v>
      </c>
      <c r="B250" t="s">
        <v>53</v>
      </c>
      <c r="C250" t="s">
        <v>25</v>
      </c>
      <c r="D250" s="3">
        <v>109</v>
      </c>
      <c r="E250" s="3">
        <v>81</v>
      </c>
      <c r="F250" s="3">
        <v>28</v>
      </c>
    </row>
    <row r="251" spans="1:6">
      <c r="A251" s="7">
        <v>45748</v>
      </c>
      <c r="B251" t="s">
        <v>54</v>
      </c>
      <c r="C251" t="s">
        <v>25</v>
      </c>
      <c r="D251" s="3">
        <v>65</v>
      </c>
      <c r="E251" s="3">
        <v>105</v>
      </c>
      <c r="F251" s="3">
        <v>-40</v>
      </c>
    </row>
    <row r="252" spans="1:6">
      <c r="A252" s="7">
        <v>45748</v>
      </c>
      <c r="B252" t="s">
        <v>55</v>
      </c>
      <c r="C252" t="s">
        <v>25</v>
      </c>
      <c r="D252" s="3">
        <v>79</v>
      </c>
      <c r="E252" s="3">
        <v>82</v>
      </c>
      <c r="F252" s="3">
        <v>-3</v>
      </c>
    </row>
    <row r="253" spans="1:6">
      <c r="A253" s="7">
        <v>45748</v>
      </c>
      <c r="B253" t="s">
        <v>56</v>
      </c>
      <c r="C253" t="s">
        <v>25</v>
      </c>
      <c r="D253" s="3">
        <v>102</v>
      </c>
      <c r="E253" s="3">
        <v>95</v>
      </c>
      <c r="F253" s="3">
        <v>7</v>
      </c>
    </row>
    <row r="254" spans="1:6">
      <c r="A254" s="7">
        <v>45748</v>
      </c>
      <c r="B254" t="s">
        <v>57</v>
      </c>
      <c r="C254" t="s">
        <v>15</v>
      </c>
      <c r="D254" s="3">
        <v>131</v>
      </c>
      <c r="E254" s="3">
        <v>141</v>
      </c>
      <c r="F254" s="3">
        <v>-10</v>
      </c>
    </row>
    <row r="255" spans="1:6">
      <c r="A255" s="7">
        <v>45748</v>
      </c>
      <c r="B255" t="s">
        <v>60</v>
      </c>
      <c r="C255" t="s">
        <v>15</v>
      </c>
      <c r="D255" s="3">
        <v>90</v>
      </c>
      <c r="E255" s="3">
        <v>127</v>
      </c>
      <c r="F255" s="3">
        <v>-37</v>
      </c>
    </row>
    <row r="256" spans="1:6">
      <c r="A256" s="7">
        <v>45748</v>
      </c>
      <c r="B256" t="s">
        <v>61</v>
      </c>
      <c r="C256" t="s">
        <v>15</v>
      </c>
      <c r="D256" s="3">
        <v>201</v>
      </c>
      <c r="E256" s="3">
        <v>179</v>
      </c>
      <c r="F256" s="3">
        <v>22</v>
      </c>
    </row>
    <row r="257" spans="1:6">
      <c r="A257" s="7">
        <v>45748</v>
      </c>
      <c r="B257" t="s">
        <v>62</v>
      </c>
      <c r="C257" t="s">
        <v>15</v>
      </c>
      <c r="D257" s="3">
        <v>155</v>
      </c>
      <c r="E257" s="3">
        <v>144</v>
      </c>
      <c r="F257" s="3">
        <v>11</v>
      </c>
    </row>
    <row r="258" spans="1:6">
      <c r="A258" s="7">
        <v>45748</v>
      </c>
      <c r="B258" t="s">
        <v>63</v>
      </c>
      <c r="C258" t="s">
        <v>20</v>
      </c>
      <c r="D258" s="3">
        <v>116</v>
      </c>
      <c r="E258" s="3">
        <v>120</v>
      </c>
      <c r="F258" s="3">
        <v>-4</v>
      </c>
    </row>
    <row r="259" spans="1:6">
      <c r="A259" s="7">
        <v>45748</v>
      </c>
      <c r="B259" t="s">
        <v>64</v>
      </c>
      <c r="C259" t="s">
        <v>20</v>
      </c>
      <c r="D259" s="3">
        <v>150</v>
      </c>
      <c r="E259" s="3">
        <v>142</v>
      </c>
      <c r="F259" s="3">
        <v>8</v>
      </c>
    </row>
    <row r="260" spans="1:6">
      <c r="A260" s="7">
        <v>45748</v>
      </c>
      <c r="B260" t="s">
        <v>65</v>
      </c>
      <c r="C260" t="s">
        <v>20</v>
      </c>
      <c r="D260" s="3">
        <v>102</v>
      </c>
      <c r="E260" s="3">
        <v>137</v>
      </c>
      <c r="F260" s="3">
        <v>-35</v>
      </c>
    </row>
    <row r="261" spans="1:6">
      <c r="A261" s="7">
        <v>45748</v>
      </c>
      <c r="B261" t="s">
        <v>66</v>
      </c>
      <c r="C261" t="s">
        <v>20</v>
      </c>
      <c r="D261" s="3">
        <v>83</v>
      </c>
      <c r="E261" s="3">
        <v>138</v>
      </c>
      <c r="F261" s="3">
        <v>-55</v>
      </c>
    </row>
    <row r="262" spans="1:6">
      <c r="A262" s="7">
        <v>45748</v>
      </c>
      <c r="B262" t="s">
        <v>67</v>
      </c>
      <c r="C262" t="s">
        <v>25</v>
      </c>
      <c r="D262" s="3">
        <v>120</v>
      </c>
      <c r="E262" s="3">
        <v>107</v>
      </c>
      <c r="F262" s="3">
        <v>13</v>
      </c>
    </row>
    <row r="263" spans="1:6">
      <c r="A263" s="7">
        <v>45748</v>
      </c>
      <c r="B263" t="s">
        <v>68</v>
      </c>
      <c r="C263" t="s">
        <v>25</v>
      </c>
      <c r="D263" s="3">
        <v>129</v>
      </c>
      <c r="E263" s="3">
        <v>152</v>
      </c>
      <c r="F263" s="3">
        <v>-23</v>
      </c>
    </row>
    <row r="264" spans="1:6">
      <c r="A264" s="7">
        <v>45748</v>
      </c>
      <c r="B264" t="s">
        <v>69</v>
      </c>
      <c r="C264" t="s">
        <v>25</v>
      </c>
      <c r="D264" s="3">
        <v>148</v>
      </c>
      <c r="E264" s="3">
        <v>134</v>
      </c>
      <c r="F264" s="3">
        <v>14</v>
      </c>
    </row>
    <row r="265" spans="1:6">
      <c r="A265" s="7">
        <v>45748</v>
      </c>
      <c r="B265" t="s">
        <v>70</v>
      </c>
      <c r="C265" t="s">
        <v>25</v>
      </c>
      <c r="D265" s="3">
        <v>139</v>
      </c>
      <c r="E265" s="3">
        <v>115</v>
      </c>
      <c r="F265" s="3">
        <v>24</v>
      </c>
    </row>
    <row r="266" spans="1:6">
      <c r="A266" s="7">
        <v>45748</v>
      </c>
      <c r="B266" t="s">
        <v>71</v>
      </c>
      <c r="C266" t="s">
        <v>15</v>
      </c>
      <c r="D266" s="3">
        <v>65</v>
      </c>
      <c r="E266" s="3">
        <v>63</v>
      </c>
      <c r="F266" s="3">
        <v>2</v>
      </c>
    </row>
    <row r="267" spans="1:6">
      <c r="A267" s="7">
        <v>45748</v>
      </c>
      <c r="B267" t="s">
        <v>74</v>
      </c>
      <c r="C267" t="s">
        <v>15</v>
      </c>
      <c r="D267" s="3">
        <v>77</v>
      </c>
      <c r="E267" s="3">
        <v>49</v>
      </c>
      <c r="F267" s="3">
        <v>28</v>
      </c>
    </row>
    <row r="268" spans="1:6">
      <c r="A268" s="7">
        <v>45748</v>
      </c>
      <c r="B268" t="s">
        <v>75</v>
      </c>
      <c r="C268" t="s">
        <v>15</v>
      </c>
      <c r="D268" s="3">
        <v>37</v>
      </c>
      <c r="E268" s="3">
        <v>52</v>
      </c>
      <c r="F268" s="3">
        <v>-15</v>
      </c>
    </row>
    <row r="269" spans="1:6">
      <c r="A269" s="7">
        <v>45748</v>
      </c>
      <c r="B269" t="s">
        <v>76</v>
      </c>
      <c r="C269" t="s">
        <v>15</v>
      </c>
      <c r="D269" s="3">
        <v>44</v>
      </c>
      <c r="E269" s="3">
        <v>64</v>
      </c>
      <c r="F269" s="3">
        <v>-20</v>
      </c>
    </row>
    <row r="270" spans="1:6">
      <c r="A270" s="7">
        <v>45748</v>
      </c>
      <c r="B270" t="s">
        <v>77</v>
      </c>
      <c r="C270" t="s">
        <v>20</v>
      </c>
      <c r="D270" s="3">
        <v>68</v>
      </c>
      <c r="E270" s="3">
        <v>68</v>
      </c>
      <c r="F270" s="3">
        <v>0</v>
      </c>
    </row>
    <row r="271" spans="1:6">
      <c r="A271" s="7">
        <v>45748</v>
      </c>
      <c r="B271" t="s">
        <v>78</v>
      </c>
      <c r="C271" t="s">
        <v>20</v>
      </c>
      <c r="D271" s="3">
        <v>86</v>
      </c>
      <c r="E271" s="3">
        <v>61</v>
      </c>
      <c r="F271" s="3">
        <v>25</v>
      </c>
    </row>
    <row r="272" spans="1:6">
      <c r="A272" s="7">
        <v>45748</v>
      </c>
      <c r="B272" t="s">
        <v>79</v>
      </c>
      <c r="C272" t="s">
        <v>20</v>
      </c>
      <c r="D272" s="3">
        <v>58</v>
      </c>
      <c r="E272" s="3">
        <v>65</v>
      </c>
      <c r="F272" s="3">
        <v>-7</v>
      </c>
    </row>
    <row r="273" spans="1:6">
      <c r="A273" s="7">
        <v>45748</v>
      </c>
      <c r="B273" t="s">
        <v>80</v>
      </c>
      <c r="C273" t="s">
        <v>20</v>
      </c>
      <c r="D273" s="3">
        <v>56</v>
      </c>
      <c r="E273" s="3">
        <v>60</v>
      </c>
      <c r="F273" s="3">
        <v>-4</v>
      </c>
    </row>
    <row r="274" spans="1:6">
      <c r="A274" s="7">
        <v>45748</v>
      </c>
      <c r="B274" t="s">
        <v>81</v>
      </c>
      <c r="C274" t="s">
        <v>25</v>
      </c>
      <c r="D274" s="3">
        <v>53</v>
      </c>
      <c r="E274" s="3">
        <v>70</v>
      </c>
      <c r="F274" s="3">
        <v>-17</v>
      </c>
    </row>
    <row r="275" spans="1:6">
      <c r="A275" s="7">
        <v>45748</v>
      </c>
      <c r="B275" t="s">
        <v>82</v>
      </c>
      <c r="C275" t="s">
        <v>25</v>
      </c>
      <c r="D275" s="3">
        <v>38</v>
      </c>
      <c r="E275" s="3">
        <v>68</v>
      </c>
      <c r="F275" s="3">
        <v>-30</v>
      </c>
    </row>
    <row r="276" spans="1:6">
      <c r="A276" s="7">
        <v>45748</v>
      </c>
      <c r="B276" t="s">
        <v>83</v>
      </c>
      <c r="C276" t="s">
        <v>25</v>
      </c>
      <c r="D276" s="3">
        <v>86</v>
      </c>
      <c r="E276" s="3">
        <v>86</v>
      </c>
      <c r="F276" s="3">
        <v>0</v>
      </c>
    </row>
    <row r="277" spans="1:6">
      <c r="A277" s="7">
        <v>45748</v>
      </c>
      <c r="B277" t="s">
        <v>84</v>
      </c>
      <c r="C277" t="s">
        <v>25</v>
      </c>
      <c r="D277" s="3">
        <v>36</v>
      </c>
      <c r="E277" s="3">
        <v>49</v>
      </c>
      <c r="F277" s="3">
        <v>-13</v>
      </c>
    </row>
    <row r="278" spans="1:6">
      <c r="A278" s="7">
        <v>45748</v>
      </c>
      <c r="B278" t="s">
        <v>85</v>
      </c>
      <c r="C278" t="s">
        <v>15</v>
      </c>
      <c r="D278" s="3">
        <v>57</v>
      </c>
      <c r="E278" s="3">
        <v>61</v>
      </c>
      <c r="F278" s="3">
        <v>-4</v>
      </c>
    </row>
    <row r="279" spans="1:6">
      <c r="A279" s="7">
        <v>45748</v>
      </c>
      <c r="B279" t="s">
        <v>88</v>
      </c>
      <c r="C279" t="s">
        <v>15</v>
      </c>
      <c r="D279" s="3">
        <v>41</v>
      </c>
      <c r="E279" s="3">
        <v>43</v>
      </c>
      <c r="F279" s="3">
        <v>-2</v>
      </c>
    </row>
    <row r="280" spans="1:6">
      <c r="A280" s="7">
        <v>45748</v>
      </c>
      <c r="B280" t="s">
        <v>89</v>
      </c>
      <c r="C280" t="s">
        <v>15</v>
      </c>
      <c r="D280" s="3">
        <v>51</v>
      </c>
      <c r="E280" s="3">
        <v>47</v>
      </c>
      <c r="F280" s="3">
        <v>4</v>
      </c>
    </row>
    <row r="281" spans="1:6">
      <c r="A281" s="7">
        <v>45748</v>
      </c>
      <c r="B281" t="s">
        <v>90</v>
      </c>
      <c r="C281" t="s">
        <v>15</v>
      </c>
      <c r="D281" s="3">
        <v>41</v>
      </c>
      <c r="E281" s="3">
        <v>48</v>
      </c>
      <c r="F281" s="3">
        <v>-7</v>
      </c>
    </row>
    <row r="282" spans="1:6">
      <c r="A282" s="7">
        <v>45748</v>
      </c>
      <c r="B282" t="s">
        <v>91</v>
      </c>
      <c r="C282" t="s">
        <v>20</v>
      </c>
      <c r="D282" s="3">
        <v>38</v>
      </c>
      <c r="E282" s="3">
        <v>63</v>
      </c>
      <c r="F282" s="3">
        <v>-25</v>
      </c>
    </row>
    <row r="283" spans="1:6">
      <c r="A283" s="7">
        <v>45748</v>
      </c>
      <c r="B283" t="s">
        <v>92</v>
      </c>
      <c r="C283" t="s">
        <v>20</v>
      </c>
      <c r="D283" s="3">
        <v>61</v>
      </c>
      <c r="E283" s="3">
        <v>62</v>
      </c>
      <c r="F283" s="3">
        <v>-1</v>
      </c>
    </row>
    <row r="284" spans="1:6">
      <c r="A284" s="7">
        <v>45748</v>
      </c>
      <c r="B284" t="s">
        <v>93</v>
      </c>
      <c r="C284" t="s">
        <v>20</v>
      </c>
      <c r="D284" s="3">
        <v>45</v>
      </c>
      <c r="E284" s="3">
        <v>49</v>
      </c>
      <c r="F284" s="3">
        <v>-4</v>
      </c>
    </row>
    <row r="285" spans="1:6">
      <c r="A285" s="7">
        <v>45748</v>
      </c>
      <c r="B285" t="s">
        <v>94</v>
      </c>
      <c r="C285" t="s">
        <v>20</v>
      </c>
      <c r="D285" s="3">
        <v>37</v>
      </c>
      <c r="E285" s="3">
        <v>42</v>
      </c>
      <c r="F285" s="3">
        <v>-5</v>
      </c>
    </row>
    <row r="286" spans="1:6">
      <c r="A286" s="7">
        <v>45748</v>
      </c>
      <c r="B286" t="s">
        <v>95</v>
      </c>
      <c r="C286" t="s">
        <v>25</v>
      </c>
      <c r="D286" s="3">
        <v>64</v>
      </c>
      <c r="E286" s="3">
        <v>57</v>
      </c>
      <c r="F286" s="3">
        <v>7</v>
      </c>
    </row>
    <row r="287" spans="1:6">
      <c r="A287" s="7">
        <v>45748</v>
      </c>
      <c r="B287" t="s">
        <v>96</v>
      </c>
      <c r="C287" t="s">
        <v>25</v>
      </c>
      <c r="D287" s="3">
        <v>32</v>
      </c>
      <c r="E287" s="3">
        <v>42</v>
      </c>
      <c r="F287" s="3">
        <v>-10</v>
      </c>
    </row>
    <row r="288" spans="1:6">
      <c r="A288" s="7">
        <v>45748</v>
      </c>
      <c r="B288" t="s">
        <v>97</v>
      </c>
      <c r="C288" t="s">
        <v>25</v>
      </c>
      <c r="D288" s="3">
        <v>49</v>
      </c>
      <c r="E288" s="3">
        <v>45</v>
      </c>
      <c r="F288" s="3">
        <v>4</v>
      </c>
    </row>
    <row r="289" spans="1:6">
      <c r="A289" s="7">
        <v>45748</v>
      </c>
      <c r="B289" t="s">
        <v>98</v>
      </c>
      <c r="C289" t="s">
        <v>25</v>
      </c>
      <c r="D289" s="3">
        <v>54</v>
      </c>
      <c r="E289" s="3">
        <v>45</v>
      </c>
      <c r="F289" s="3">
        <v>9</v>
      </c>
    </row>
    <row r="290" spans="1:6">
      <c r="A290" s="7">
        <v>45778</v>
      </c>
      <c r="B290" t="s">
        <v>12</v>
      </c>
      <c r="C290" t="s">
        <v>15</v>
      </c>
      <c r="D290" s="3">
        <v>64</v>
      </c>
      <c r="E290" s="3">
        <v>78</v>
      </c>
      <c r="F290" s="3">
        <v>-14</v>
      </c>
    </row>
    <row r="291" spans="1:6">
      <c r="A291" s="7">
        <v>45778</v>
      </c>
      <c r="B291" t="s">
        <v>16</v>
      </c>
      <c r="C291" t="s">
        <v>15</v>
      </c>
      <c r="D291" s="3">
        <v>125</v>
      </c>
      <c r="E291" s="3">
        <v>112</v>
      </c>
      <c r="F291" s="3">
        <v>13</v>
      </c>
    </row>
    <row r="292" spans="1:6">
      <c r="A292" s="7">
        <v>45778</v>
      </c>
      <c r="B292" t="s">
        <v>17</v>
      </c>
      <c r="C292" t="s">
        <v>15</v>
      </c>
      <c r="D292" s="3">
        <v>68</v>
      </c>
      <c r="E292" s="3">
        <v>101</v>
      </c>
      <c r="F292" s="3">
        <v>-33</v>
      </c>
    </row>
    <row r="293" spans="1:6">
      <c r="A293" s="7">
        <v>45778</v>
      </c>
      <c r="B293" t="s">
        <v>18</v>
      </c>
      <c r="C293" t="s">
        <v>15</v>
      </c>
      <c r="D293" s="3">
        <v>64</v>
      </c>
      <c r="E293" s="3">
        <v>85</v>
      </c>
      <c r="F293" s="3">
        <v>-21</v>
      </c>
    </row>
    <row r="294" spans="1:6">
      <c r="A294" s="7">
        <v>45778</v>
      </c>
      <c r="B294" t="s">
        <v>19</v>
      </c>
      <c r="C294" t="s">
        <v>20</v>
      </c>
      <c r="D294" s="3">
        <v>91</v>
      </c>
      <c r="E294" s="3">
        <v>93</v>
      </c>
      <c r="F294" s="3">
        <v>-2</v>
      </c>
    </row>
    <row r="295" spans="1:6">
      <c r="A295" s="7">
        <v>45778</v>
      </c>
      <c r="B295" t="s">
        <v>21</v>
      </c>
      <c r="C295" t="s">
        <v>20</v>
      </c>
      <c r="D295" s="3">
        <v>92</v>
      </c>
      <c r="E295" s="3">
        <v>92</v>
      </c>
      <c r="F295" s="3">
        <v>0</v>
      </c>
    </row>
    <row r="296" spans="1:6">
      <c r="A296" s="7">
        <v>45778</v>
      </c>
      <c r="B296" t="s">
        <v>22</v>
      </c>
      <c r="C296" t="s">
        <v>20</v>
      </c>
      <c r="D296" s="3">
        <v>88</v>
      </c>
      <c r="E296" s="3">
        <v>75</v>
      </c>
      <c r="F296" s="3">
        <v>13</v>
      </c>
    </row>
    <row r="297" spans="1:6">
      <c r="A297" s="7">
        <v>45778</v>
      </c>
      <c r="B297" t="s">
        <v>23</v>
      </c>
      <c r="C297" t="s">
        <v>20</v>
      </c>
      <c r="D297" s="3">
        <v>62</v>
      </c>
      <c r="E297" s="3">
        <v>85</v>
      </c>
      <c r="F297" s="3">
        <v>-23</v>
      </c>
    </row>
    <row r="298" spans="1:6">
      <c r="A298" s="7">
        <v>45778</v>
      </c>
      <c r="B298" t="s">
        <v>24</v>
      </c>
      <c r="C298" t="s">
        <v>25</v>
      </c>
      <c r="D298" s="3">
        <v>54</v>
      </c>
      <c r="E298" s="3">
        <v>81</v>
      </c>
      <c r="F298" s="3">
        <v>-27</v>
      </c>
    </row>
    <row r="299" spans="1:6">
      <c r="A299" s="7">
        <v>45778</v>
      </c>
      <c r="B299" t="s">
        <v>26</v>
      </c>
      <c r="C299" t="s">
        <v>25</v>
      </c>
      <c r="D299" s="3">
        <v>99</v>
      </c>
      <c r="E299" s="3">
        <v>104</v>
      </c>
      <c r="F299" s="3">
        <v>-5</v>
      </c>
    </row>
    <row r="300" spans="1:6">
      <c r="A300" s="7">
        <v>45778</v>
      </c>
      <c r="B300" t="s">
        <v>27</v>
      </c>
      <c r="C300" t="s">
        <v>25</v>
      </c>
      <c r="D300" s="3">
        <v>109</v>
      </c>
      <c r="E300" s="3">
        <v>83</v>
      </c>
      <c r="F300" s="3">
        <v>26</v>
      </c>
    </row>
    <row r="301" spans="1:6">
      <c r="A301" s="7">
        <v>45778</v>
      </c>
      <c r="B301" t="s">
        <v>28</v>
      </c>
      <c r="C301" t="s">
        <v>25</v>
      </c>
      <c r="D301" s="3">
        <v>63</v>
      </c>
      <c r="E301" s="3">
        <v>92</v>
      </c>
      <c r="F301" s="3">
        <v>-29</v>
      </c>
    </row>
    <row r="302" spans="1:6">
      <c r="A302" s="7">
        <v>45778</v>
      </c>
      <c r="B302" t="s">
        <v>29</v>
      </c>
      <c r="C302" t="s">
        <v>15</v>
      </c>
      <c r="D302" s="3">
        <v>89</v>
      </c>
      <c r="E302" s="3">
        <v>72</v>
      </c>
      <c r="F302" s="3">
        <v>17</v>
      </c>
    </row>
    <row r="303" spans="1:6">
      <c r="A303" s="7">
        <v>45778</v>
      </c>
      <c r="B303" t="s">
        <v>32</v>
      </c>
      <c r="C303" t="s">
        <v>15</v>
      </c>
      <c r="D303" s="3">
        <v>78</v>
      </c>
      <c r="E303" s="3">
        <v>57</v>
      </c>
      <c r="F303" s="3">
        <v>21</v>
      </c>
    </row>
    <row r="304" spans="1:6">
      <c r="A304" s="7">
        <v>45778</v>
      </c>
      <c r="B304" t="s">
        <v>33</v>
      </c>
      <c r="C304" t="s">
        <v>15</v>
      </c>
      <c r="D304" s="3">
        <v>82</v>
      </c>
      <c r="E304" s="3">
        <v>87</v>
      </c>
      <c r="F304" s="3">
        <v>-5</v>
      </c>
    </row>
    <row r="305" spans="1:6">
      <c r="A305" s="7">
        <v>45778</v>
      </c>
      <c r="B305" t="s">
        <v>34</v>
      </c>
      <c r="C305" t="s">
        <v>15</v>
      </c>
      <c r="D305" s="3">
        <v>91</v>
      </c>
      <c r="E305" s="3">
        <v>79</v>
      </c>
      <c r="F305" s="3">
        <v>12</v>
      </c>
    </row>
    <row r="306" spans="1:6">
      <c r="A306" s="7">
        <v>45778</v>
      </c>
      <c r="B306" t="s">
        <v>35</v>
      </c>
      <c r="C306" t="s">
        <v>20</v>
      </c>
      <c r="D306" s="3">
        <v>61</v>
      </c>
      <c r="E306" s="3">
        <v>73</v>
      </c>
      <c r="F306" s="3">
        <v>-12</v>
      </c>
    </row>
    <row r="307" spans="1:6">
      <c r="A307" s="7">
        <v>45778</v>
      </c>
      <c r="B307" t="s">
        <v>36</v>
      </c>
      <c r="C307" t="s">
        <v>20</v>
      </c>
      <c r="D307" s="3">
        <v>106</v>
      </c>
      <c r="E307" s="3">
        <v>82</v>
      </c>
      <c r="F307" s="3">
        <v>24</v>
      </c>
    </row>
    <row r="308" spans="1:6">
      <c r="A308" s="7">
        <v>45778</v>
      </c>
      <c r="B308" t="s">
        <v>37</v>
      </c>
      <c r="C308" t="s">
        <v>20</v>
      </c>
      <c r="D308" s="3">
        <v>60</v>
      </c>
      <c r="E308" s="3">
        <v>77</v>
      </c>
      <c r="F308" s="3">
        <v>-17</v>
      </c>
    </row>
    <row r="309" spans="1:6">
      <c r="A309" s="7">
        <v>45778</v>
      </c>
      <c r="B309" t="s">
        <v>38</v>
      </c>
      <c r="C309" t="s">
        <v>20</v>
      </c>
      <c r="D309" s="3">
        <v>52</v>
      </c>
      <c r="E309" s="3">
        <v>93</v>
      </c>
      <c r="F309" s="3">
        <v>-41</v>
      </c>
    </row>
    <row r="310" spans="1:6">
      <c r="A310" s="7">
        <v>45778</v>
      </c>
      <c r="B310" t="s">
        <v>39</v>
      </c>
      <c r="C310" t="s">
        <v>25</v>
      </c>
      <c r="D310" s="3">
        <v>61</v>
      </c>
      <c r="E310" s="3">
        <v>69</v>
      </c>
      <c r="F310" s="3">
        <v>-8</v>
      </c>
    </row>
    <row r="311" spans="1:6">
      <c r="A311" s="7">
        <v>45778</v>
      </c>
      <c r="B311" t="s">
        <v>40</v>
      </c>
      <c r="C311" t="s">
        <v>25</v>
      </c>
      <c r="D311" s="3">
        <v>52</v>
      </c>
      <c r="E311" s="3">
        <v>86</v>
      </c>
      <c r="F311" s="3">
        <v>-34</v>
      </c>
    </row>
    <row r="312" spans="1:6">
      <c r="A312" s="7">
        <v>45778</v>
      </c>
      <c r="B312" t="s">
        <v>41</v>
      </c>
      <c r="C312" t="s">
        <v>25</v>
      </c>
      <c r="D312" s="3">
        <v>57</v>
      </c>
      <c r="E312" s="3">
        <v>73</v>
      </c>
      <c r="F312" s="3">
        <v>-16</v>
      </c>
    </row>
    <row r="313" spans="1:6">
      <c r="A313" s="7">
        <v>45778</v>
      </c>
      <c r="B313" t="s">
        <v>42</v>
      </c>
      <c r="C313" t="s">
        <v>25</v>
      </c>
      <c r="D313" s="3">
        <v>85</v>
      </c>
      <c r="E313" s="3">
        <v>71</v>
      </c>
      <c r="F313" s="3">
        <v>14</v>
      </c>
    </row>
    <row r="314" spans="1:6">
      <c r="A314" s="7">
        <v>45778</v>
      </c>
      <c r="B314" t="s">
        <v>43</v>
      </c>
      <c r="C314" t="s">
        <v>15</v>
      </c>
      <c r="D314" s="3">
        <v>89</v>
      </c>
      <c r="E314" s="3">
        <v>80</v>
      </c>
      <c r="F314" s="3">
        <v>9</v>
      </c>
    </row>
    <row r="315" spans="1:6">
      <c r="A315" s="7">
        <v>45778</v>
      </c>
      <c r="B315" t="s">
        <v>46</v>
      </c>
      <c r="C315" t="s">
        <v>15</v>
      </c>
      <c r="D315" s="3">
        <v>49</v>
      </c>
      <c r="E315" s="3">
        <v>72</v>
      </c>
      <c r="F315" s="3">
        <v>-23</v>
      </c>
    </row>
    <row r="316" spans="1:6">
      <c r="A316" s="7">
        <v>45778</v>
      </c>
      <c r="B316" t="s">
        <v>47</v>
      </c>
      <c r="C316" t="s">
        <v>15</v>
      </c>
      <c r="D316" s="3">
        <v>67</v>
      </c>
      <c r="E316" s="3">
        <v>86</v>
      </c>
      <c r="F316" s="3">
        <v>-19</v>
      </c>
    </row>
    <row r="317" spans="1:6">
      <c r="A317" s="7">
        <v>45778</v>
      </c>
      <c r="B317" t="s">
        <v>48</v>
      </c>
      <c r="C317" t="s">
        <v>15</v>
      </c>
      <c r="D317" s="3">
        <v>102</v>
      </c>
      <c r="E317" s="3">
        <v>88</v>
      </c>
      <c r="F317" s="3">
        <v>14</v>
      </c>
    </row>
    <row r="318" spans="1:6">
      <c r="A318" s="7">
        <v>45778</v>
      </c>
      <c r="B318" t="s">
        <v>49</v>
      </c>
      <c r="C318" t="s">
        <v>20</v>
      </c>
      <c r="D318" s="3">
        <v>91</v>
      </c>
      <c r="E318" s="3">
        <v>96</v>
      </c>
      <c r="F318" s="3">
        <v>-5</v>
      </c>
    </row>
    <row r="319" spans="1:6">
      <c r="A319" s="7">
        <v>45778</v>
      </c>
      <c r="B319" t="s">
        <v>50</v>
      </c>
      <c r="C319" t="s">
        <v>20</v>
      </c>
      <c r="D319" s="3">
        <v>104</v>
      </c>
      <c r="E319" s="3">
        <v>97</v>
      </c>
      <c r="F319" s="3">
        <v>7</v>
      </c>
    </row>
    <row r="320" spans="1:6">
      <c r="A320" s="7">
        <v>45778</v>
      </c>
      <c r="B320" t="s">
        <v>51</v>
      </c>
      <c r="C320" t="s">
        <v>20</v>
      </c>
      <c r="D320" s="3">
        <v>76</v>
      </c>
      <c r="E320" s="3">
        <v>91</v>
      </c>
      <c r="F320" s="3">
        <v>-15</v>
      </c>
    </row>
    <row r="321" spans="1:6">
      <c r="A321" s="7">
        <v>45778</v>
      </c>
      <c r="B321" t="s">
        <v>52</v>
      </c>
      <c r="C321" t="s">
        <v>20</v>
      </c>
      <c r="D321" s="3">
        <v>65</v>
      </c>
      <c r="E321" s="3">
        <v>77</v>
      </c>
      <c r="F321" s="3">
        <v>-12</v>
      </c>
    </row>
    <row r="322" spans="1:6">
      <c r="A322" s="7">
        <v>45778</v>
      </c>
      <c r="B322" t="s">
        <v>53</v>
      </c>
      <c r="C322" t="s">
        <v>25</v>
      </c>
      <c r="D322" s="3">
        <v>115</v>
      </c>
      <c r="E322" s="3">
        <v>92</v>
      </c>
      <c r="F322" s="3">
        <v>23</v>
      </c>
    </row>
    <row r="323" spans="1:6">
      <c r="A323" s="7">
        <v>45778</v>
      </c>
      <c r="B323" t="s">
        <v>54</v>
      </c>
      <c r="C323" t="s">
        <v>25</v>
      </c>
      <c r="D323" s="3">
        <v>57</v>
      </c>
      <c r="E323" s="3">
        <v>98</v>
      </c>
      <c r="F323" s="3">
        <v>-41</v>
      </c>
    </row>
    <row r="324" spans="1:6">
      <c r="A324" s="7">
        <v>45778</v>
      </c>
      <c r="B324" t="s">
        <v>55</v>
      </c>
      <c r="C324" t="s">
        <v>25</v>
      </c>
      <c r="D324" s="3">
        <v>80</v>
      </c>
      <c r="E324" s="3">
        <v>100</v>
      </c>
      <c r="F324" s="3">
        <v>-20</v>
      </c>
    </row>
    <row r="325" spans="1:6">
      <c r="A325" s="7">
        <v>45778</v>
      </c>
      <c r="B325" t="s">
        <v>56</v>
      </c>
      <c r="C325" t="s">
        <v>25</v>
      </c>
      <c r="D325" s="3">
        <v>111</v>
      </c>
      <c r="E325" s="3">
        <v>97</v>
      </c>
      <c r="F325" s="3">
        <v>14</v>
      </c>
    </row>
    <row r="326" spans="1:6">
      <c r="A326" s="7">
        <v>45778</v>
      </c>
      <c r="B326" t="s">
        <v>57</v>
      </c>
      <c r="C326" t="s">
        <v>15</v>
      </c>
      <c r="D326" s="3">
        <v>145</v>
      </c>
      <c r="E326" s="3">
        <v>118</v>
      </c>
      <c r="F326" s="3">
        <v>27</v>
      </c>
    </row>
    <row r="327" spans="1:6">
      <c r="A327" s="7">
        <v>45778</v>
      </c>
      <c r="B327" t="s">
        <v>60</v>
      </c>
      <c r="C327" t="s">
        <v>15</v>
      </c>
      <c r="D327" s="3">
        <v>196</v>
      </c>
      <c r="E327" s="3">
        <v>128</v>
      </c>
      <c r="F327" s="3">
        <v>68</v>
      </c>
    </row>
    <row r="328" spans="1:6">
      <c r="A328" s="7">
        <v>45778</v>
      </c>
      <c r="B328" t="s">
        <v>61</v>
      </c>
      <c r="C328" t="s">
        <v>15</v>
      </c>
      <c r="D328" s="3">
        <v>154</v>
      </c>
      <c r="E328" s="3">
        <v>131</v>
      </c>
      <c r="F328" s="3">
        <v>23</v>
      </c>
    </row>
    <row r="329" spans="1:6">
      <c r="A329" s="7">
        <v>45778</v>
      </c>
      <c r="B329" t="s">
        <v>62</v>
      </c>
      <c r="C329" t="s">
        <v>15</v>
      </c>
      <c r="D329" s="3">
        <v>86</v>
      </c>
      <c r="E329" s="3">
        <v>151</v>
      </c>
      <c r="F329" s="3">
        <v>-65</v>
      </c>
    </row>
    <row r="330" spans="1:6">
      <c r="A330" s="7">
        <v>45778</v>
      </c>
      <c r="B330" t="s">
        <v>63</v>
      </c>
      <c r="C330" t="s">
        <v>20</v>
      </c>
      <c r="D330" s="3">
        <v>144</v>
      </c>
      <c r="E330" s="3">
        <v>134</v>
      </c>
      <c r="F330" s="3">
        <v>10</v>
      </c>
    </row>
    <row r="331" spans="1:6">
      <c r="A331" s="7">
        <v>45778</v>
      </c>
      <c r="B331" t="s">
        <v>64</v>
      </c>
      <c r="C331" t="s">
        <v>20</v>
      </c>
      <c r="D331" s="3">
        <v>94</v>
      </c>
      <c r="E331" s="3">
        <v>118</v>
      </c>
      <c r="F331" s="3">
        <v>-24</v>
      </c>
    </row>
    <row r="332" spans="1:6">
      <c r="A332" s="7">
        <v>45778</v>
      </c>
      <c r="B332" t="s">
        <v>65</v>
      </c>
      <c r="C332" t="s">
        <v>20</v>
      </c>
      <c r="D332" s="3">
        <v>129</v>
      </c>
      <c r="E332" s="3">
        <v>174</v>
      </c>
      <c r="F332" s="3">
        <v>-45</v>
      </c>
    </row>
    <row r="333" spans="1:6">
      <c r="A333" s="7">
        <v>45778</v>
      </c>
      <c r="B333" t="s">
        <v>66</v>
      </c>
      <c r="C333" t="s">
        <v>20</v>
      </c>
      <c r="D333" s="3">
        <v>99</v>
      </c>
      <c r="E333" s="3">
        <v>133</v>
      </c>
      <c r="F333" s="3">
        <v>-34</v>
      </c>
    </row>
    <row r="334" spans="1:6">
      <c r="A334" s="7">
        <v>45778</v>
      </c>
      <c r="B334" t="s">
        <v>67</v>
      </c>
      <c r="C334" t="s">
        <v>25</v>
      </c>
      <c r="D334" s="3">
        <v>156</v>
      </c>
      <c r="E334" s="3">
        <v>108</v>
      </c>
      <c r="F334" s="3">
        <v>48</v>
      </c>
    </row>
    <row r="335" spans="1:6">
      <c r="A335" s="7">
        <v>45778</v>
      </c>
      <c r="B335" t="s">
        <v>68</v>
      </c>
      <c r="C335" t="s">
        <v>25</v>
      </c>
      <c r="D335" s="3">
        <v>119</v>
      </c>
      <c r="E335" s="3">
        <v>121</v>
      </c>
      <c r="F335" s="3">
        <v>-2</v>
      </c>
    </row>
    <row r="336" spans="1:6">
      <c r="A336" s="7">
        <v>45778</v>
      </c>
      <c r="B336" t="s">
        <v>69</v>
      </c>
      <c r="C336" t="s">
        <v>25</v>
      </c>
      <c r="D336" s="3">
        <v>130</v>
      </c>
      <c r="E336" s="3">
        <v>117</v>
      </c>
      <c r="F336" s="3">
        <v>13</v>
      </c>
    </row>
    <row r="337" spans="1:6">
      <c r="A337" s="7">
        <v>45778</v>
      </c>
      <c r="B337" t="s">
        <v>70</v>
      </c>
      <c r="C337" t="s">
        <v>25</v>
      </c>
      <c r="D337" s="3">
        <v>171</v>
      </c>
      <c r="E337" s="3">
        <v>121</v>
      </c>
      <c r="F337" s="3">
        <v>50</v>
      </c>
    </row>
    <row r="338" spans="1:6">
      <c r="A338" s="7">
        <v>45778</v>
      </c>
      <c r="B338" t="s">
        <v>71</v>
      </c>
      <c r="C338" t="s">
        <v>15</v>
      </c>
      <c r="D338" s="3">
        <v>81</v>
      </c>
      <c r="E338" s="3">
        <v>62</v>
      </c>
      <c r="F338" s="3">
        <v>19</v>
      </c>
    </row>
    <row r="339" spans="1:6">
      <c r="A339" s="7">
        <v>45778</v>
      </c>
      <c r="B339" t="s">
        <v>74</v>
      </c>
      <c r="C339" t="s">
        <v>15</v>
      </c>
      <c r="D339" s="3">
        <v>57</v>
      </c>
      <c r="E339" s="3">
        <v>64</v>
      </c>
      <c r="F339" s="3">
        <v>-7</v>
      </c>
    </row>
    <row r="340" spans="1:6">
      <c r="A340" s="7">
        <v>45778</v>
      </c>
      <c r="B340" t="s">
        <v>75</v>
      </c>
      <c r="C340" t="s">
        <v>15</v>
      </c>
      <c r="D340" s="3">
        <v>71</v>
      </c>
      <c r="E340" s="3">
        <v>65</v>
      </c>
      <c r="F340" s="3">
        <v>6</v>
      </c>
    </row>
    <row r="341" spans="1:6">
      <c r="A341" s="7">
        <v>45778</v>
      </c>
      <c r="B341" t="s">
        <v>76</v>
      </c>
      <c r="C341" t="s">
        <v>15</v>
      </c>
      <c r="D341" s="3">
        <v>52</v>
      </c>
      <c r="E341" s="3">
        <v>67</v>
      </c>
      <c r="F341" s="3">
        <v>-15</v>
      </c>
    </row>
    <row r="342" spans="1:6">
      <c r="A342" s="7">
        <v>45778</v>
      </c>
      <c r="B342" t="s">
        <v>77</v>
      </c>
      <c r="C342" t="s">
        <v>20</v>
      </c>
      <c r="D342" s="3">
        <v>40</v>
      </c>
      <c r="E342" s="3">
        <v>56</v>
      </c>
      <c r="F342" s="3">
        <v>-16</v>
      </c>
    </row>
    <row r="343" spans="1:6">
      <c r="A343" s="7">
        <v>45778</v>
      </c>
      <c r="B343" t="s">
        <v>78</v>
      </c>
      <c r="C343" t="s">
        <v>20</v>
      </c>
      <c r="D343" s="3">
        <v>67</v>
      </c>
      <c r="E343" s="3">
        <v>80</v>
      </c>
      <c r="F343" s="3">
        <v>-13</v>
      </c>
    </row>
    <row r="344" spans="1:6">
      <c r="A344" s="7">
        <v>45778</v>
      </c>
      <c r="B344" t="s">
        <v>79</v>
      </c>
      <c r="C344" t="s">
        <v>20</v>
      </c>
      <c r="D344" s="3">
        <v>80</v>
      </c>
      <c r="E344" s="3">
        <v>58</v>
      </c>
      <c r="F344" s="3">
        <v>22</v>
      </c>
    </row>
    <row r="345" spans="1:6">
      <c r="A345" s="7">
        <v>45778</v>
      </c>
      <c r="B345" t="s">
        <v>80</v>
      </c>
      <c r="C345" t="s">
        <v>20</v>
      </c>
      <c r="D345" s="3">
        <v>75</v>
      </c>
      <c r="E345" s="3">
        <v>76</v>
      </c>
      <c r="F345" s="3">
        <v>-1</v>
      </c>
    </row>
    <row r="346" spans="1:6">
      <c r="A346" s="7">
        <v>45778</v>
      </c>
      <c r="B346" t="s">
        <v>81</v>
      </c>
      <c r="C346" t="s">
        <v>25</v>
      </c>
      <c r="D346" s="3">
        <v>83</v>
      </c>
      <c r="E346" s="3">
        <v>83</v>
      </c>
      <c r="F346" s="3">
        <v>0</v>
      </c>
    </row>
    <row r="347" spans="1:6">
      <c r="A347" s="7">
        <v>45778</v>
      </c>
      <c r="B347" t="s">
        <v>82</v>
      </c>
      <c r="C347" t="s">
        <v>25</v>
      </c>
      <c r="D347" s="3">
        <v>54</v>
      </c>
      <c r="E347" s="3">
        <v>64</v>
      </c>
      <c r="F347" s="3">
        <v>-10</v>
      </c>
    </row>
    <row r="348" spans="1:6">
      <c r="A348" s="7">
        <v>45778</v>
      </c>
      <c r="B348" t="s">
        <v>83</v>
      </c>
      <c r="C348" t="s">
        <v>25</v>
      </c>
      <c r="D348" s="3">
        <v>79</v>
      </c>
      <c r="E348" s="3">
        <v>76</v>
      </c>
      <c r="F348" s="3">
        <v>3</v>
      </c>
    </row>
    <row r="349" spans="1:6">
      <c r="A349" s="7">
        <v>45778</v>
      </c>
      <c r="B349" t="s">
        <v>84</v>
      </c>
      <c r="C349" t="s">
        <v>25</v>
      </c>
      <c r="D349" s="3">
        <v>54</v>
      </c>
      <c r="E349" s="3">
        <v>59</v>
      </c>
      <c r="F349" s="3">
        <v>-5</v>
      </c>
    </row>
    <row r="350" spans="1:6">
      <c r="A350" s="7">
        <v>45778</v>
      </c>
      <c r="B350" t="s">
        <v>85</v>
      </c>
      <c r="C350" t="s">
        <v>15</v>
      </c>
      <c r="D350" s="3">
        <v>52</v>
      </c>
      <c r="E350" s="3">
        <v>54</v>
      </c>
      <c r="F350" s="3">
        <v>-2</v>
      </c>
    </row>
    <row r="351" spans="1:6">
      <c r="A351" s="7">
        <v>45778</v>
      </c>
      <c r="B351" t="s">
        <v>88</v>
      </c>
      <c r="C351" t="s">
        <v>15</v>
      </c>
      <c r="D351" s="3">
        <v>28</v>
      </c>
      <c r="E351" s="3">
        <v>49</v>
      </c>
      <c r="F351" s="3">
        <v>-21</v>
      </c>
    </row>
    <row r="352" spans="1:6">
      <c r="A352" s="7">
        <v>45778</v>
      </c>
      <c r="B352" t="s">
        <v>89</v>
      </c>
      <c r="C352" t="s">
        <v>15</v>
      </c>
      <c r="D352" s="3">
        <v>41</v>
      </c>
      <c r="E352" s="3">
        <v>49</v>
      </c>
      <c r="F352" s="3">
        <v>-8</v>
      </c>
    </row>
    <row r="353" spans="1:6">
      <c r="A353" s="7">
        <v>45778</v>
      </c>
      <c r="B353" t="s">
        <v>90</v>
      </c>
      <c r="C353" t="s">
        <v>15</v>
      </c>
      <c r="D353" s="3">
        <v>71</v>
      </c>
      <c r="E353" s="3">
        <v>61</v>
      </c>
      <c r="F353" s="3">
        <v>10</v>
      </c>
    </row>
    <row r="354" spans="1:6">
      <c r="A354" s="7">
        <v>45778</v>
      </c>
      <c r="B354" t="s">
        <v>91</v>
      </c>
      <c r="C354" t="s">
        <v>20</v>
      </c>
      <c r="D354" s="3">
        <v>66</v>
      </c>
      <c r="E354" s="3">
        <v>53</v>
      </c>
      <c r="F354" s="3">
        <v>13</v>
      </c>
    </row>
    <row r="355" spans="1:6">
      <c r="A355" s="7">
        <v>45778</v>
      </c>
      <c r="B355" t="s">
        <v>92</v>
      </c>
      <c r="C355" t="s">
        <v>20</v>
      </c>
      <c r="D355" s="3">
        <v>39</v>
      </c>
      <c r="E355" s="3">
        <v>53</v>
      </c>
      <c r="F355" s="3">
        <v>-14</v>
      </c>
    </row>
    <row r="356" spans="1:6">
      <c r="A356" s="7">
        <v>45778</v>
      </c>
      <c r="B356" t="s">
        <v>93</v>
      </c>
      <c r="C356" t="s">
        <v>20</v>
      </c>
      <c r="D356" s="3">
        <v>33</v>
      </c>
      <c r="E356" s="3">
        <v>48</v>
      </c>
      <c r="F356" s="3">
        <v>-15</v>
      </c>
    </row>
    <row r="357" spans="1:6">
      <c r="A357" s="7">
        <v>45778</v>
      </c>
      <c r="B357" t="s">
        <v>94</v>
      </c>
      <c r="C357" t="s">
        <v>20</v>
      </c>
      <c r="D357" s="3">
        <v>33</v>
      </c>
      <c r="E357" s="3">
        <v>42</v>
      </c>
      <c r="F357" s="3">
        <v>-9</v>
      </c>
    </row>
    <row r="358" spans="1:6">
      <c r="A358" s="7">
        <v>45778</v>
      </c>
      <c r="B358" t="s">
        <v>95</v>
      </c>
      <c r="C358" t="s">
        <v>25</v>
      </c>
      <c r="D358" s="3">
        <v>69</v>
      </c>
      <c r="E358" s="3">
        <v>61</v>
      </c>
      <c r="F358" s="3">
        <v>8</v>
      </c>
    </row>
    <row r="359" spans="1:6">
      <c r="A359" s="7">
        <v>45778</v>
      </c>
      <c r="B359" t="s">
        <v>96</v>
      </c>
      <c r="C359" t="s">
        <v>25</v>
      </c>
      <c r="D359" s="3">
        <v>32</v>
      </c>
      <c r="E359" s="3">
        <v>47</v>
      </c>
      <c r="F359" s="3">
        <v>-15</v>
      </c>
    </row>
    <row r="360" spans="1:6">
      <c r="A360" s="7">
        <v>45778</v>
      </c>
      <c r="B360" t="s">
        <v>97</v>
      </c>
      <c r="C360" t="s">
        <v>25</v>
      </c>
      <c r="D360" s="3">
        <v>56</v>
      </c>
      <c r="E360" s="3">
        <v>52</v>
      </c>
      <c r="F360" s="3">
        <v>4</v>
      </c>
    </row>
    <row r="361" spans="1:6">
      <c r="A361" s="7">
        <v>45778</v>
      </c>
      <c r="B361" t="s">
        <v>98</v>
      </c>
      <c r="C361" t="s">
        <v>25</v>
      </c>
      <c r="D361" s="3">
        <v>54</v>
      </c>
      <c r="E361" s="3">
        <v>58</v>
      </c>
      <c r="F361" s="3">
        <v>-4</v>
      </c>
    </row>
    <row r="362" spans="1:6">
      <c r="A362" s="7">
        <v>45809</v>
      </c>
      <c r="B362" t="s">
        <v>12</v>
      </c>
      <c r="C362" t="s">
        <v>15</v>
      </c>
      <c r="D362" s="3">
        <v>54</v>
      </c>
      <c r="E362" s="3">
        <v>74</v>
      </c>
      <c r="F362" s="3">
        <v>-20</v>
      </c>
    </row>
    <row r="363" spans="1:6">
      <c r="A363" s="7">
        <v>45809</v>
      </c>
      <c r="B363" t="s">
        <v>16</v>
      </c>
      <c r="C363" t="s">
        <v>15</v>
      </c>
      <c r="D363" s="3">
        <v>112</v>
      </c>
      <c r="E363" s="3">
        <v>109</v>
      </c>
      <c r="F363" s="3">
        <v>3</v>
      </c>
    </row>
    <row r="364" spans="1:6">
      <c r="A364" s="7">
        <v>45809</v>
      </c>
      <c r="B364" t="s">
        <v>17</v>
      </c>
      <c r="C364" t="s">
        <v>15</v>
      </c>
      <c r="D364" s="3">
        <v>71</v>
      </c>
      <c r="E364" s="3">
        <v>116</v>
      </c>
      <c r="F364" s="3">
        <v>-45</v>
      </c>
    </row>
    <row r="365" spans="1:6">
      <c r="A365" s="7">
        <v>45809</v>
      </c>
      <c r="B365" t="s">
        <v>18</v>
      </c>
      <c r="C365" t="s">
        <v>15</v>
      </c>
      <c r="D365" s="3">
        <v>109</v>
      </c>
      <c r="E365" s="3">
        <v>75</v>
      </c>
      <c r="F365" s="3">
        <v>34</v>
      </c>
    </row>
    <row r="366" spans="1:6">
      <c r="A366" s="7">
        <v>45809</v>
      </c>
      <c r="B366" t="s">
        <v>19</v>
      </c>
      <c r="C366" t="s">
        <v>20</v>
      </c>
      <c r="D366" s="3">
        <v>93</v>
      </c>
      <c r="E366" s="3">
        <v>80</v>
      </c>
      <c r="F366" s="3">
        <v>13</v>
      </c>
    </row>
    <row r="367" spans="1:6">
      <c r="A367" s="7">
        <v>45809</v>
      </c>
      <c r="B367" t="s">
        <v>21</v>
      </c>
      <c r="C367" t="s">
        <v>20</v>
      </c>
      <c r="D367" s="3">
        <v>109</v>
      </c>
      <c r="E367" s="3">
        <v>85</v>
      </c>
      <c r="F367" s="3">
        <v>24</v>
      </c>
    </row>
    <row r="368" spans="1:6">
      <c r="A368" s="7">
        <v>45809</v>
      </c>
      <c r="B368" t="s">
        <v>22</v>
      </c>
      <c r="C368" t="s">
        <v>20</v>
      </c>
      <c r="D368" s="3">
        <v>109</v>
      </c>
      <c r="E368" s="3">
        <v>91</v>
      </c>
      <c r="F368" s="3">
        <v>18</v>
      </c>
    </row>
    <row r="369" spans="1:6">
      <c r="A369" s="7">
        <v>45809</v>
      </c>
      <c r="B369" t="s">
        <v>23</v>
      </c>
      <c r="C369" t="s">
        <v>20</v>
      </c>
      <c r="D369" s="3">
        <v>67</v>
      </c>
      <c r="E369" s="3">
        <v>85</v>
      </c>
      <c r="F369" s="3">
        <v>-18</v>
      </c>
    </row>
    <row r="370" spans="1:6">
      <c r="A370" s="7">
        <v>45809</v>
      </c>
      <c r="B370" t="s">
        <v>24</v>
      </c>
      <c r="C370" t="s">
        <v>25</v>
      </c>
      <c r="D370" s="3">
        <v>87</v>
      </c>
      <c r="E370" s="3">
        <v>82</v>
      </c>
      <c r="F370" s="3">
        <v>5</v>
      </c>
    </row>
    <row r="371" spans="1:6">
      <c r="A371" s="7">
        <v>45809</v>
      </c>
      <c r="B371" t="s">
        <v>26</v>
      </c>
      <c r="C371" t="s">
        <v>25</v>
      </c>
      <c r="D371" s="3">
        <v>114</v>
      </c>
      <c r="E371" s="3">
        <v>80</v>
      </c>
      <c r="F371" s="3">
        <v>34</v>
      </c>
    </row>
    <row r="372" spans="1:6">
      <c r="A372" s="7">
        <v>45809</v>
      </c>
      <c r="B372" t="s">
        <v>27</v>
      </c>
      <c r="C372" t="s">
        <v>25</v>
      </c>
      <c r="D372" s="3">
        <v>104</v>
      </c>
      <c r="E372" s="3">
        <v>93</v>
      </c>
      <c r="F372" s="3">
        <v>11</v>
      </c>
    </row>
    <row r="373" spans="1:6">
      <c r="A373" s="7">
        <v>45809</v>
      </c>
      <c r="B373" t="s">
        <v>28</v>
      </c>
      <c r="C373" t="s">
        <v>25</v>
      </c>
      <c r="D373" s="3">
        <v>74</v>
      </c>
      <c r="E373" s="3">
        <v>95</v>
      </c>
      <c r="F373" s="3">
        <v>-21</v>
      </c>
    </row>
    <row r="374" spans="1:6">
      <c r="A374" s="7">
        <v>45809</v>
      </c>
      <c r="B374" t="s">
        <v>29</v>
      </c>
      <c r="C374" t="s">
        <v>15</v>
      </c>
      <c r="D374" s="3">
        <v>86</v>
      </c>
      <c r="E374" s="3">
        <v>91</v>
      </c>
      <c r="F374" s="3">
        <v>-5</v>
      </c>
    </row>
    <row r="375" spans="1:6">
      <c r="A375" s="7">
        <v>45809</v>
      </c>
      <c r="B375" t="s">
        <v>32</v>
      </c>
      <c r="C375" t="s">
        <v>15</v>
      </c>
      <c r="D375" s="3">
        <v>46</v>
      </c>
      <c r="E375" s="3">
        <v>71</v>
      </c>
      <c r="F375" s="3">
        <v>-25</v>
      </c>
    </row>
    <row r="376" spans="1:6">
      <c r="A376" s="7">
        <v>45809</v>
      </c>
      <c r="B376" t="s">
        <v>33</v>
      </c>
      <c r="C376" t="s">
        <v>15</v>
      </c>
      <c r="D376" s="3">
        <v>88</v>
      </c>
      <c r="E376" s="3">
        <v>81</v>
      </c>
      <c r="F376" s="3">
        <v>7</v>
      </c>
    </row>
    <row r="377" spans="1:6">
      <c r="A377" s="7">
        <v>45809</v>
      </c>
      <c r="B377" t="s">
        <v>34</v>
      </c>
      <c r="C377" t="s">
        <v>15</v>
      </c>
      <c r="D377" s="3">
        <v>70</v>
      </c>
      <c r="E377" s="3">
        <v>74</v>
      </c>
      <c r="F377" s="3">
        <v>-4</v>
      </c>
    </row>
    <row r="378" spans="1:6">
      <c r="A378" s="7">
        <v>45809</v>
      </c>
      <c r="B378" t="s">
        <v>35</v>
      </c>
      <c r="C378" t="s">
        <v>20</v>
      </c>
      <c r="D378" s="3">
        <v>45</v>
      </c>
      <c r="E378" s="3">
        <v>66</v>
      </c>
      <c r="F378" s="3">
        <v>-21</v>
      </c>
    </row>
    <row r="379" spans="1:6">
      <c r="A379" s="7">
        <v>45809</v>
      </c>
      <c r="B379" t="s">
        <v>36</v>
      </c>
      <c r="C379" t="s">
        <v>20</v>
      </c>
      <c r="D379" s="3">
        <v>92</v>
      </c>
      <c r="E379" s="3">
        <v>94</v>
      </c>
      <c r="F379" s="3">
        <v>-2</v>
      </c>
    </row>
    <row r="380" spans="1:6">
      <c r="A380" s="7">
        <v>45809</v>
      </c>
      <c r="B380" t="s">
        <v>37</v>
      </c>
      <c r="C380" t="s">
        <v>20</v>
      </c>
      <c r="D380" s="3">
        <v>96</v>
      </c>
      <c r="E380" s="3">
        <v>71</v>
      </c>
      <c r="F380" s="3">
        <v>25</v>
      </c>
    </row>
    <row r="381" spans="1:6">
      <c r="A381" s="7">
        <v>45809</v>
      </c>
      <c r="B381" t="s">
        <v>38</v>
      </c>
      <c r="C381" t="s">
        <v>20</v>
      </c>
      <c r="D381" s="3">
        <v>67</v>
      </c>
      <c r="E381" s="3">
        <v>83</v>
      </c>
      <c r="F381" s="3">
        <v>-16</v>
      </c>
    </row>
    <row r="382" spans="1:6">
      <c r="A382" s="7">
        <v>45809</v>
      </c>
      <c r="B382" t="s">
        <v>39</v>
      </c>
      <c r="C382" t="s">
        <v>25</v>
      </c>
      <c r="D382" s="3">
        <v>67</v>
      </c>
      <c r="E382" s="3">
        <v>78</v>
      </c>
      <c r="F382" s="3">
        <v>-11</v>
      </c>
    </row>
    <row r="383" spans="1:6">
      <c r="A383" s="7">
        <v>45809</v>
      </c>
      <c r="B383" t="s">
        <v>40</v>
      </c>
      <c r="C383" t="s">
        <v>25</v>
      </c>
      <c r="D383" s="3">
        <v>92</v>
      </c>
      <c r="E383" s="3">
        <v>93</v>
      </c>
      <c r="F383" s="3">
        <v>-1</v>
      </c>
    </row>
    <row r="384" spans="1:6">
      <c r="A384" s="7">
        <v>45809</v>
      </c>
      <c r="B384" t="s">
        <v>41</v>
      </c>
      <c r="C384" t="s">
        <v>25</v>
      </c>
      <c r="D384" s="3">
        <v>102</v>
      </c>
      <c r="E384" s="3">
        <v>88</v>
      </c>
      <c r="F384" s="3">
        <v>14</v>
      </c>
    </row>
    <row r="385" spans="1:6">
      <c r="A385" s="7">
        <v>45809</v>
      </c>
      <c r="B385" t="s">
        <v>42</v>
      </c>
      <c r="C385" t="s">
        <v>25</v>
      </c>
      <c r="D385" s="3">
        <v>86</v>
      </c>
      <c r="E385" s="3">
        <v>83</v>
      </c>
      <c r="F385" s="3">
        <v>3</v>
      </c>
    </row>
    <row r="386" spans="1:6">
      <c r="A386" s="7">
        <v>45809</v>
      </c>
      <c r="B386" t="s">
        <v>43</v>
      </c>
      <c r="C386" t="s">
        <v>15</v>
      </c>
      <c r="D386" s="3">
        <v>65</v>
      </c>
      <c r="E386" s="3">
        <v>85</v>
      </c>
      <c r="F386" s="3">
        <v>-20</v>
      </c>
    </row>
    <row r="387" spans="1:6">
      <c r="A387" s="7">
        <v>45809</v>
      </c>
      <c r="B387" t="s">
        <v>46</v>
      </c>
      <c r="C387" t="s">
        <v>15</v>
      </c>
      <c r="D387" s="3">
        <v>99</v>
      </c>
      <c r="E387" s="3">
        <v>72</v>
      </c>
      <c r="F387" s="3">
        <v>27</v>
      </c>
    </row>
    <row r="388" spans="1:6">
      <c r="A388" s="7">
        <v>45809</v>
      </c>
      <c r="B388" t="s">
        <v>47</v>
      </c>
      <c r="C388" t="s">
        <v>15</v>
      </c>
      <c r="D388" s="3">
        <v>65</v>
      </c>
      <c r="E388" s="3">
        <v>65</v>
      </c>
      <c r="F388" s="3">
        <v>0</v>
      </c>
    </row>
    <row r="389" spans="1:6">
      <c r="A389" s="7">
        <v>45809</v>
      </c>
      <c r="B389" t="s">
        <v>48</v>
      </c>
      <c r="C389" t="s">
        <v>15</v>
      </c>
      <c r="D389" s="3">
        <v>99</v>
      </c>
      <c r="E389" s="3">
        <v>101</v>
      </c>
      <c r="F389" s="3">
        <v>-2</v>
      </c>
    </row>
    <row r="390" spans="1:6">
      <c r="A390" s="7">
        <v>45809</v>
      </c>
      <c r="B390" t="s">
        <v>49</v>
      </c>
      <c r="C390" t="s">
        <v>20</v>
      </c>
      <c r="D390" s="3">
        <v>65</v>
      </c>
      <c r="E390" s="3">
        <v>81</v>
      </c>
      <c r="F390" s="3">
        <v>-16</v>
      </c>
    </row>
    <row r="391" spans="1:6">
      <c r="A391" s="7">
        <v>45809</v>
      </c>
      <c r="B391" t="s">
        <v>50</v>
      </c>
      <c r="C391" t="s">
        <v>20</v>
      </c>
      <c r="D391" s="3">
        <v>63</v>
      </c>
      <c r="E391" s="3">
        <v>100</v>
      </c>
      <c r="F391" s="3">
        <v>-37</v>
      </c>
    </row>
    <row r="392" spans="1:6">
      <c r="A392" s="7">
        <v>45809</v>
      </c>
      <c r="B392" t="s">
        <v>51</v>
      </c>
      <c r="C392" t="s">
        <v>20</v>
      </c>
      <c r="D392" s="3">
        <v>71</v>
      </c>
      <c r="E392" s="3">
        <v>107</v>
      </c>
      <c r="F392" s="3">
        <v>-36</v>
      </c>
    </row>
    <row r="393" spans="1:6">
      <c r="A393" s="7">
        <v>45809</v>
      </c>
      <c r="B393" t="s">
        <v>52</v>
      </c>
      <c r="C393" t="s">
        <v>20</v>
      </c>
      <c r="D393" s="3">
        <v>106</v>
      </c>
      <c r="E393" s="3">
        <v>84</v>
      </c>
      <c r="F393" s="3">
        <v>22</v>
      </c>
    </row>
    <row r="394" spans="1:6">
      <c r="A394" s="7">
        <v>45809</v>
      </c>
      <c r="B394" t="s">
        <v>53</v>
      </c>
      <c r="C394" t="s">
        <v>25</v>
      </c>
      <c r="D394" s="3">
        <v>123</v>
      </c>
      <c r="E394" s="3">
        <v>105</v>
      </c>
      <c r="F394" s="3">
        <v>18</v>
      </c>
    </row>
    <row r="395" spans="1:6">
      <c r="A395" s="7">
        <v>45809</v>
      </c>
      <c r="B395" t="s">
        <v>54</v>
      </c>
      <c r="C395" t="s">
        <v>25</v>
      </c>
      <c r="D395" s="3">
        <v>89</v>
      </c>
      <c r="E395" s="3">
        <v>94</v>
      </c>
      <c r="F395" s="3">
        <v>-5</v>
      </c>
    </row>
    <row r="396" spans="1:6">
      <c r="A396" s="7">
        <v>45809</v>
      </c>
      <c r="B396" t="s">
        <v>55</v>
      </c>
      <c r="C396" t="s">
        <v>25</v>
      </c>
      <c r="D396" s="3">
        <v>65</v>
      </c>
      <c r="E396" s="3">
        <v>106</v>
      </c>
      <c r="F396" s="3">
        <v>-41</v>
      </c>
    </row>
    <row r="397" spans="1:6">
      <c r="A397" s="7">
        <v>45809</v>
      </c>
      <c r="B397" t="s">
        <v>56</v>
      </c>
      <c r="C397" t="s">
        <v>25</v>
      </c>
      <c r="D397" s="3">
        <v>112</v>
      </c>
      <c r="E397" s="3">
        <v>74</v>
      </c>
      <c r="F397" s="3">
        <v>38</v>
      </c>
    </row>
    <row r="398" spans="1:6">
      <c r="A398" s="7">
        <v>45809</v>
      </c>
      <c r="B398" t="s">
        <v>57</v>
      </c>
      <c r="C398" t="s">
        <v>15</v>
      </c>
      <c r="D398" s="3">
        <v>106</v>
      </c>
      <c r="E398" s="3">
        <v>122</v>
      </c>
      <c r="F398" s="3">
        <v>-16</v>
      </c>
    </row>
    <row r="399" spans="1:6">
      <c r="A399" s="7">
        <v>45809</v>
      </c>
      <c r="B399" t="s">
        <v>60</v>
      </c>
      <c r="C399" t="s">
        <v>15</v>
      </c>
      <c r="D399" s="3">
        <v>172</v>
      </c>
      <c r="E399" s="3">
        <v>138</v>
      </c>
      <c r="F399" s="3">
        <v>34</v>
      </c>
    </row>
    <row r="400" spans="1:6">
      <c r="A400" s="7">
        <v>45809</v>
      </c>
      <c r="B400" t="s">
        <v>61</v>
      </c>
      <c r="C400" t="s">
        <v>15</v>
      </c>
      <c r="D400" s="3">
        <v>91</v>
      </c>
      <c r="E400" s="3">
        <v>181</v>
      </c>
      <c r="F400" s="3">
        <v>-90</v>
      </c>
    </row>
    <row r="401" spans="1:6">
      <c r="A401" s="7">
        <v>45809</v>
      </c>
      <c r="B401" t="s">
        <v>62</v>
      </c>
      <c r="C401" t="s">
        <v>15</v>
      </c>
      <c r="D401" s="3">
        <v>105</v>
      </c>
      <c r="E401" s="3">
        <v>137</v>
      </c>
      <c r="F401" s="3">
        <v>-32</v>
      </c>
    </row>
    <row r="402" spans="1:6">
      <c r="A402" s="7">
        <v>45809</v>
      </c>
      <c r="B402" t="s">
        <v>63</v>
      </c>
      <c r="C402" t="s">
        <v>20</v>
      </c>
      <c r="D402" s="3">
        <v>148</v>
      </c>
      <c r="E402" s="3">
        <v>148</v>
      </c>
      <c r="F402" s="3">
        <v>0</v>
      </c>
    </row>
    <row r="403" spans="1:6">
      <c r="A403" s="7">
        <v>45809</v>
      </c>
      <c r="B403" t="s">
        <v>64</v>
      </c>
      <c r="C403" t="s">
        <v>20</v>
      </c>
      <c r="D403" s="3">
        <v>77</v>
      </c>
      <c r="E403" s="3">
        <v>112</v>
      </c>
      <c r="F403" s="3">
        <v>-35</v>
      </c>
    </row>
    <row r="404" spans="1:6">
      <c r="A404" s="7">
        <v>45809</v>
      </c>
      <c r="B404" t="s">
        <v>65</v>
      </c>
      <c r="C404" t="s">
        <v>20</v>
      </c>
      <c r="D404" s="3">
        <v>135</v>
      </c>
      <c r="E404" s="3">
        <v>163</v>
      </c>
      <c r="F404" s="3">
        <v>-28</v>
      </c>
    </row>
    <row r="405" spans="1:6">
      <c r="A405" s="7">
        <v>45809</v>
      </c>
      <c r="B405" t="s">
        <v>66</v>
      </c>
      <c r="C405" t="s">
        <v>20</v>
      </c>
      <c r="D405" s="3">
        <v>158</v>
      </c>
      <c r="E405" s="3">
        <v>146</v>
      </c>
      <c r="F405" s="3">
        <v>12</v>
      </c>
    </row>
    <row r="406" spans="1:6">
      <c r="A406" s="7">
        <v>45809</v>
      </c>
      <c r="B406" t="s">
        <v>67</v>
      </c>
      <c r="C406" t="s">
        <v>25</v>
      </c>
      <c r="D406" s="3">
        <v>161</v>
      </c>
      <c r="E406" s="3">
        <v>133</v>
      </c>
      <c r="F406" s="3">
        <v>28</v>
      </c>
    </row>
    <row r="407" spans="1:6">
      <c r="A407" s="7">
        <v>45809</v>
      </c>
      <c r="B407" t="s">
        <v>68</v>
      </c>
      <c r="C407" t="s">
        <v>25</v>
      </c>
      <c r="D407" s="3">
        <v>102</v>
      </c>
      <c r="E407" s="3">
        <v>149</v>
      </c>
      <c r="F407" s="3">
        <v>-47</v>
      </c>
    </row>
    <row r="408" spans="1:6">
      <c r="A408" s="7">
        <v>45809</v>
      </c>
      <c r="B408" t="s">
        <v>69</v>
      </c>
      <c r="C408" t="s">
        <v>25</v>
      </c>
      <c r="D408" s="3">
        <v>138</v>
      </c>
      <c r="E408" s="3">
        <v>129</v>
      </c>
      <c r="F408" s="3">
        <v>9</v>
      </c>
    </row>
    <row r="409" spans="1:6">
      <c r="A409" s="7">
        <v>45809</v>
      </c>
      <c r="B409" t="s">
        <v>70</v>
      </c>
      <c r="C409" t="s">
        <v>25</v>
      </c>
      <c r="D409" s="3">
        <v>102</v>
      </c>
      <c r="E409" s="3">
        <v>118</v>
      </c>
      <c r="F409" s="3">
        <v>-16</v>
      </c>
    </row>
    <row r="410" spans="1:6">
      <c r="A410" s="7">
        <v>45809</v>
      </c>
      <c r="B410" t="s">
        <v>71</v>
      </c>
      <c r="C410" t="s">
        <v>15</v>
      </c>
      <c r="D410" s="3">
        <v>85</v>
      </c>
      <c r="E410" s="3">
        <v>65</v>
      </c>
      <c r="F410" s="3">
        <v>20</v>
      </c>
    </row>
    <row r="411" spans="1:6">
      <c r="A411" s="7">
        <v>45809</v>
      </c>
      <c r="B411" t="s">
        <v>74</v>
      </c>
      <c r="C411" t="s">
        <v>15</v>
      </c>
      <c r="D411" s="3">
        <v>57</v>
      </c>
      <c r="E411" s="3">
        <v>54</v>
      </c>
      <c r="F411" s="3">
        <v>3</v>
      </c>
    </row>
    <row r="412" spans="1:6">
      <c r="A412" s="7">
        <v>45809</v>
      </c>
      <c r="B412" t="s">
        <v>75</v>
      </c>
      <c r="C412" t="s">
        <v>15</v>
      </c>
      <c r="D412" s="3">
        <v>48</v>
      </c>
      <c r="E412" s="3">
        <v>54</v>
      </c>
      <c r="F412" s="3">
        <v>-6</v>
      </c>
    </row>
    <row r="413" spans="1:6">
      <c r="A413" s="7">
        <v>45809</v>
      </c>
      <c r="B413" t="s">
        <v>76</v>
      </c>
      <c r="C413" t="s">
        <v>15</v>
      </c>
      <c r="D413" s="3">
        <v>80</v>
      </c>
      <c r="E413" s="3">
        <v>71</v>
      </c>
      <c r="F413" s="3">
        <v>9</v>
      </c>
    </row>
    <row r="414" spans="1:6">
      <c r="A414" s="7">
        <v>45809</v>
      </c>
      <c r="B414" t="s">
        <v>77</v>
      </c>
      <c r="C414" t="s">
        <v>20</v>
      </c>
      <c r="D414" s="3">
        <v>53</v>
      </c>
      <c r="E414" s="3">
        <v>58</v>
      </c>
      <c r="F414" s="3">
        <v>-5</v>
      </c>
    </row>
    <row r="415" spans="1:6">
      <c r="A415" s="7">
        <v>45809</v>
      </c>
      <c r="B415" t="s">
        <v>78</v>
      </c>
      <c r="C415" t="s">
        <v>20</v>
      </c>
      <c r="D415" s="3">
        <v>73</v>
      </c>
      <c r="E415" s="3">
        <v>67</v>
      </c>
      <c r="F415" s="3">
        <v>6</v>
      </c>
    </row>
    <row r="416" spans="1:6">
      <c r="A416" s="7">
        <v>45809</v>
      </c>
      <c r="B416" t="s">
        <v>79</v>
      </c>
      <c r="C416" t="s">
        <v>20</v>
      </c>
      <c r="D416" s="3">
        <v>79</v>
      </c>
      <c r="E416" s="3">
        <v>74</v>
      </c>
      <c r="F416" s="3">
        <v>5</v>
      </c>
    </row>
    <row r="417" spans="1:6">
      <c r="A417" s="7">
        <v>45809</v>
      </c>
      <c r="B417" t="s">
        <v>80</v>
      </c>
      <c r="C417" t="s">
        <v>20</v>
      </c>
      <c r="D417" s="3">
        <v>59</v>
      </c>
      <c r="E417" s="3">
        <v>72</v>
      </c>
      <c r="F417" s="3">
        <v>-13</v>
      </c>
    </row>
    <row r="418" spans="1:6">
      <c r="A418" s="7">
        <v>45809</v>
      </c>
      <c r="B418" t="s">
        <v>81</v>
      </c>
      <c r="C418" t="s">
        <v>25</v>
      </c>
      <c r="D418" s="3">
        <v>66</v>
      </c>
      <c r="E418" s="3">
        <v>87</v>
      </c>
      <c r="F418" s="3">
        <v>-21</v>
      </c>
    </row>
    <row r="419" spans="1:6">
      <c r="A419" s="7">
        <v>45809</v>
      </c>
      <c r="B419" t="s">
        <v>82</v>
      </c>
      <c r="C419" t="s">
        <v>25</v>
      </c>
      <c r="D419" s="3">
        <v>47</v>
      </c>
      <c r="E419" s="3">
        <v>62</v>
      </c>
      <c r="F419" s="3">
        <v>-15</v>
      </c>
    </row>
    <row r="420" spans="1:6">
      <c r="A420" s="7">
        <v>45809</v>
      </c>
      <c r="B420" t="s">
        <v>83</v>
      </c>
      <c r="C420" t="s">
        <v>25</v>
      </c>
      <c r="D420" s="3">
        <v>80</v>
      </c>
      <c r="E420" s="3">
        <v>87</v>
      </c>
      <c r="F420" s="3">
        <v>-7</v>
      </c>
    </row>
    <row r="421" spans="1:6">
      <c r="A421" s="7">
        <v>45809</v>
      </c>
      <c r="B421" t="s">
        <v>84</v>
      </c>
      <c r="C421" t="s">
        <v>25</v>
      </c>
      <c r="D421" s="3">
        <v>40</v>
      </c>
      <c r="E421" s="3">
        <v>52</v>
      </c>
      <c r="F421" s="3">
        <v>-12</v>
      </c>
    </row>
    <row r="422" spans="1:6">
      <c r="A422" s="7">
        <v>45809</v>
      </c>
      <c r="B422" t="s">
        <v>85</v>
      </c>
      <c r="C422" t="s">
        <v>15</v>
      </c>
      <c r="D422" s="3">
        <v>53</v>
      </c>
      <c r="E422" s="3">
        <v>58</v>
      </c>
      <c r="F422" s="3">
        <v>-5</v>
      </c>
    </row>
    <row r="423" spans="1:6">
      <c r="A423" s="7">
        <v>45809</v>
      </c>
      <c r="B423" t="s">
        <v>88</v>
      </c>
      <c r="C423" t="s">
        <v>15</v>
      </c>
      <c r="D423" s="3">
        <v>51</v>
      </c>
      <c r="E423" s="3">
        <v>41</v>
      </c>
      <c r="F423" s="3">
        <v>10</v>
      </c>
    </row>
    <row r="424" spans="1:6">
      <c r="A424" s="7">
        <v>45809</v>
      </c>
      <c r="B424" t="s">
        <v>89</v>
      </c>
      <c r="C424" t="s">
        <v>15</v>
      </c>
      <c r="D424" s="3">
        <v>57</v>
      </c>
      <c r="E424" s="3">
        <v>63</v>
      </c>
      <c r="F424" s="3">
        <v>-6</v>
      </c>
    </row>
    <row r="425" spans="1:6">
      <c r="A425" s="7">
        <v>45809</v>
      </c>
      <c r="B425" t="s">
        <v>90</v>
      </c>
      <c r="C425" t="s">
        <v>15</v>
      </c>
      <c r="D425" s="3">
        <v>70</v>
      </c>
      <c r="E425" s="3">
        <v>57</v>
      </c>
      <c r="F425" s="3">
        <v>13</v>
      </c>
    </row>
    <row r="426" spans="1:6">
      <c r="A426" s="7">
        <v>45809</v>
      </c>
      <c r="B426" t="s">
        <v>91</v>
      </c>
      <c r="C426" t="s">
        <v>20</v>
      </c>
      <c r="D426" s="3">
        <v>53</v>
      </c>
      <c r="E426" s="3">
        <v>50</v>
      </c>
      <c r="F426" s="3">
        <v>3</v>
      </c>
    </row>
    <row r="427" spans="1:6">
      <c r="A427" s="7">
        <v>45809</v>
      </c>
      <c r="B427" t="s">
        <v>92</v>
      </c>
      <c r="C427" t="s">
        <v>20</v>
      </c>
      <c r="D427" s="3">
        <v>56</v>
      </c>
      <c r="E427" s="3">
        <v>53</v>
      </c>
      <c r="F427" s="3">
        <v>3</v>
      </c>
    </row>
    <row r="428" spans="1:6">
      <c r="A428" s="7">
        <v>45809</v>
      </c>
      <c r="B428" t="s">
        <v>93</v>
      </c>
      <c r="C428" t="s">
        <v>20</v>
      </c>
      <c r="D428" s="3">
        <v>58</v>
      </c>
      <c r="E428" s="3">
        <v>55</v>
      </c>
      <c r="F428" s="3">
        <v>3</v>
      </c>
    </row>
    <row r="429" spans="1:6">
      <c r="A429" s="7">
        <v>45809</v>
      </c>
      <c r="B429" t="s">
        <v>94</v>
      </c>
      <c r="C429" t="s">
        <v>20</v>
      </c>
      <c r="D429" s="3">
        <v>52</v>
      </c>
      <c r="E429" s="3">
        <v>37</v>
      </c>
      <c r="F429" s="3">
        <v>15</v>
      </c>
    </row>
    <row r="430" spans="1:6">
      <c r="A430" s="7">
        <v>45809</v>
      </c>
      <c r="B430" t="s">
        <v>95</v>
      </c>
      <c r="C430" t="s">
        <v>25</v>
      </c>
      <c r="D430" s="3">
        <v>69</v>
      </c>
      <c r="E430" s="3">
        <v>45</v>
      </c>
      <c r="F430" s="3">
        <v>24</v>
      </c>
    </row>
    <row r="431" spans="1:6">
      <c r="A431" s="7">
        <v>45809</v>
      </c>
      <c r="B431" t="s">
        <v>96</v>
      </c>
      <c r="C431" t="s">
        <v>25</v>
      </c>
      <c r="D431" s="3">
        <v>57</v>
      </c>
      <c r="E431" s="3">
        <v>42</v>
      </c>
      <c r="F431" s="3">
        <v>15</v>
      </c>
    </row>
    <row r="432" spans="1:6">
      <c r="A432" s="7">
        <v>45809</v>
      </c>
      <c r="B432" t="s">
        <v>97</v>
      </c>
      <c r="C432" t="s">
        <v>25</v>
      </c>
      <c r="D432" s="3">
        <v>31</v>
      </c>
      <c r="E432" s="3">
        <v>40</v>
      </c>
      <c r="F432" s="3">
        <v>-9</v>
      </c>
    </row>
    <row r="433" spans="1:6">
      <c r="A433" s="7">
        <v>45809</v>
      </c>
      <c r="B433" t="s">
        <v>98</v>
      </c>
      <c r="C433" t="s">
        <v>25</v>
      </c>
      <c r="D433" s="3">
        <v>49</v>
      </c>
      <c r="E433" s="3">
        <v>56</v>
      </c>
      <c r="F433" s="3">
        <v>-7</v>
      </c>
    </row>
    <row r="434" spans="1:6">
      <c r="A434" s="7">
        <v>45839</v>
      </c>
      <c r="B434" t="s">
        <v>12</v>
      </c>
      <c r="C434" t="s">
        <v>15</v>
      </c>
      <c r="D434" s="3">
        <v>53</v>
      </c>
      <c r="E434" s="3">
        <v>67</v>
      </c>
      <c r="F434" s="3">
        <v>-14</v>
      </c>
    </row>
    <row r="435" spans="1:6">
      <c r="A435" s="7">
        <v>45839</v>
      </c>
      <c r="B435" t="s">
        <v>16</v>
      </c>
      <c r="C435" t="s">
        <v>15</v>
      </c>
      <c r="D435" s="3">
        <v>81</v>
      </c>
      <c r="E435" s="3">
        <v>99</v>
      </c>
      <c r="F435" s="3">
        <v>-18</v>
      </c>
    </row>
    <row r="436" spans="1:6">
      <c r="A436" s="7">
        <v>45839</v>
      </c>
      <c r="B436" t="s">
        <v>17</v>
      </c>
      <c r="C436" t="s">
        <v>15</v>
      </c>
      <c r="D436" s="3">
        <v>83</v>
      </c>
      <c r="E436" s="3">
        <v>93</v>
      </c>
      <c r="F436" s="3">
        <v>-10</v>
      </c>
    </row>
    <row r="437" spans="1:6">
      <c r="A437" s="7">
        <v>45839</v>
      </c>
      <c r="B437" t="s">
        <v>18</v>
      </c>
      <c r="C437" t="s">
        <v>15</v>
      </c>
      <c r="D437" s="3">
        <v>61</v>
      </c>
      <c r="E437" s="3">
        <v>78</v>
      </c>
      <c r="F437" s="3">
        <v>-17</v>
      </c>
    </row>
    <row r="438" spans="1:6">
      <c r="A438" s="7">
        <v>45839</v>
      </c>
      <c r="B438" t="s">
        <v>19</v>
      </c>
      <c r="C438" t="s">
        <v>20</v>
      </c>
      <c r="D438" s="3">
        <v>116</v>
      </c>
      <c r="E438" s="3">
        <v>89</v>
      </c>
      <c r="F438" s="3">
        <v>27</v>
      </c>
    </row>
    <row r="439" spans="1:6">
      <c r="A439" s="7">
        <v>45839</v>
      </c>
      <c r="B439" t="s">
        <v>21</v>
      </c>
      <c r="C439" t="s">
        <v>20</v>
      </c>
      <c r="D439" s="3">
        <v>56</v>
      </c>
      <c r="E439" s="3">
        <v>98</v>
      </c>
      <c r="F439" s="3">
        <v>-42</v>
      </c>
    </row>
    <row r="440" spans="1:6">
      <c r="A440" s="7">
        <v>45839</v>
      </c>
      <c r="B440" t="s">
        <v>22</v>
      </c>
      <c r="C440" t="s">
        <v>20</v>
      </c>
      <c r="D440" s="3">
        <v>75</v>
      </c>
      <c r="E440" s="3">
        <v>88</v>
      </c>
      <c r="F440" s="3">
        <v>-13</v>
      </c>
    </row>
    <row r="441" spans="1:6">
      <c r="A441" s="7">
        <v>45839</v>
      </c>
      <c r="B441" t="s">
        <v>23</v>
      </c>
      <c r="C441" t="s">
        <v>20</v>
      </c>
      <c r="D441" s="3">
        <v>83</v>
      </c>
      <c r="E441" s="3">
        <v>74</v>
      </c>
      <c r="F441" s="3">
        <v>9</v>
      </c>
    </row>
    <row r="442" spans="1:6">
      <c r="A442" s="7">
        <v>45839</v>
      </c>
      <c r="B442" t="s">
        <v>24</v>
      </c>
      <c r="C442" t="s">
        <v>25</v>
      </c>
      <c r="D442" s="3">
        <v>85</v>
      </c>
      <c r="E442" s="3">
        <v>80</v>
      </c>
      <c r="F442" s="3">
        <v>5</v>
      </c>
    </row>
    <row r="443" spans="1:6">
      <c r="A443" s="7">
        <v>45839</v>
      </c>
      <c r="B443" t="s">
        <v>26</v>
      </c>
      <c r="C443" t="s">
        <v>25</v>
      </c>
      <c r="D443" s="3">
        <v>120</v>
      </c>
      <c r="E443" s="3">
        <v>88</v>
      </c>
      <c r="F443" s="3">
        <v>32</v>
      </c>
    </row>
    <row r="444" spans="1:6">
      <c r="A444" s="7">
        <v>45839</v>
      </c>
      <c r="B444" t="s">
        <v>27</v>
      </c>
      <c r="C444" t="s">
        <v>25</v>
      </c>
      <c r="D444" s="3">
        <v>62</v>
      </c>
      <c r="E444" s="3">
        <v>77</v>
      </c>
      <c r="F444" s="3">
        <v>-15</v>
      </c>
    </row>
    <row r="445" spans="1:6">
      <c r="A445" s="7">
        <v>45839</v>
      </c>
      <c r="B445" t="s">
        <v>28</v>
      </c>
      <c r="C445" t="s">
        <v>25</v>
      </c>
      <c r="D445" s="3">
        <v>61</v>
      </c>
      <c r="E445" s="3">
        <v>76</v>
      </c>
      <c r="F445" s="3">
        <v>-15</v>
      </c>
    </row>
    <row r="446" spans="1:6">
      <c r="A446" s="7">
        <v>45839</v>
      </c>
      <c r="B446" t="s">
        <v>29</v>
      </c>
      <c r="C446" t="s">
        <v>15</v>
      </c>
      <c r="D446" s="3">
        <v>83</v>
      </c>
      <c r="E446" s="3">
        <v>91</v>
      </c>
      <c r="F446" s="3">
        <v>-8</v>
      </c>
    </row>
    <row r="447" spans="1:6">
      <c r="A447" s="7">
        <v>45839</v>
      </c>
      <c r="B447" t="s">
        <v>32</v>
      </c>
      <c r="C447" t="s">
        <v>15</v>
      </c>
      <c r="D447" s="3">
        <v>72</v>
      </c>
      <c r="E447" s="3">
        <v>60</v>
      </c>
      <c r="F447" s="3">
        <v>12</v>
      </c>
    </row>
    <row r="448" spans="1:6">
      <c r="A448" s="7">
        <v>45839</v>
      </c>
      <c r="B448" t="s">
        <v>33</v>
      </c>
      <c r="C448" t="s">
        <v>15</v>
      </c>
      <c r="D448" s="3">
        <v>48</v>
      </c>
      <c r="E448" s="3">
        <v>67</v>
      </c>
      <c r="F448" s="3">
        <v>-19</v>
      </c>
    </row>
    <row r="449" spans="1:6">
      <c r="A449" s="7">
        <v>45839</v>
      </c>
      <c r="B449" t="s">
        <v>34</v>
      </c>
      <c r="C449" t="s">
        <v>15</v>
      </c>
      <c r="D449" s="3">
        <v>88</v>
      </c>
      <c r="E449" s="3">
        <v>77</v>
      </c>
      <c r="F449" s="3">
        <v>11</v>
      </c>
    </row>
    <row r="450" spans="1:6">
      <c r="A450" s="7">
        <v>45839</v>
      </c>
      <c r="B450" t="s">
        <v>35</v>
      </c>
      <c r="C450" t="s">
        <v>20</v>
      </c>
      <c r="D450" s="3">
        <v>77</v>
      </c>
      <c r="E450" s="3">
        <v>78</v>
      </c>
      <c r="F450" s="3">
        <v>-1</v>
      </c>
    </row>
    <row r="451" spans="1:6">
      <c r="A451" s="7">
        <v>45839</v>
      </c>
      <c r="B451" t="s">
        <v>36</v>
      </c>
      <c r="C451" t="s">
        <v>20</v>
      </c>
      <c r="D451" s="3">
        <v>70</v>
      </c>
      <c r="E451" s="3">
        <v>81</v>
      </c>
      <c r="F451" s="3">
        <v>-11</v>
      </c>
    </row>
    <row r="452" spans="1:6">
      <c r="A452" s="7">
        <v>45839</v>
      </c>
      <c r="B452" t="s">
        <v>37</v>
      </c>
      <c r="C452" t="s">
        <v>20</v>
      </c>
      <c r="D452" s="3">
        <v>55</v>
      </c>
      <c r="E452" s="3">
        <v>76</v>
      </c>
      <c r="F452" s="3">
        <v>-21</v>
      </c>
    </row>
    <row r="453" spans="1:6">
      <c r="A453" s="7">
        <v>45839</v>
      </c>
      <c r="B453" t="s">
        <v>38</v>
      </c>
      <c r="C453" t="s">
        <v>20</v>
      </c>
      <c r="D453" s="3">
        <v>85</v>
      </c>
      <c r="E453" s="3">
        <v>91</v>
      </c>
      <c r="F453" s="3">
        <v>-6</v>
      </c>
    </row>
    <row r="454" spans="1:6">
      <c r="A454" s="7">
        <v>45839</v>
      </c>
      <c r="B454" t="s">
        <v>39</v>
      </c>
      <c r="C454" t="s">
        <v>25</v>
      </c>
      <c r="D454" s="3">
        <v>52</v>
      </c>
      <c r="E454" s="3">
        <v>70</v>
      </c>
      <c r="F454" s="3">
        <v>-18</v>
      </c>
    </row>
    <row r="455" spans="1:6">
      <c r="A455" s="7">
        <v>45839</v>
      </c>
      <c r="B455" t="s">
        <v>40</v>
      </c>
      <c r="C455" t="s">
        <v>25</v>
      </c>
      <c r="D455" s="3">
        <v>80</v>
      </c>
      <c r="E455" s="3">
        <v>92</v>
      </c>
      <c r="F455" s="3">
        <v>-12</v>
      </c>
    </row>
    <row r="456" spans="1:6">
      <c r="A456" s="7">
        <v>45839</v>
      </c>
      <c r="B456" t="s">
        <v>41</v>
      </c>
      <c r="C456" t="s">
        <v>25</v>
      </c>
      <c r="D456" s="3">
        <v>89</v>
      </c>
      <c r="E456" s="3">
        <v>78</v>
      </c>
      <c r="F456" s="3">
        <v>11</v>
      </c>
    </row>
    <row r="457" spans="1:6">
      <c r="A457" s="7">
        <v>45839</v>
      </c>
      <c r="B457" t="s">
        <v>42</v>
      </c>
      <c r="C457" t="s">
        <v>25</v>
      </c>
      <c r="D457" s="3">
        <v>45</v>
      </c>
      <c r="E457" s="3">
        <v>82</v>
      </c>
      <c r="F457" s="3">
        <v>-37</v>
      </c>
    </row>
    <row r="458" spans="1:6">
      <c r="A458" s="7">
        <v>45839</v>
      </c>
      <c r="B458" t="s">
        <v>43</v>
      </c>
      <c r="C458" t="s">
        <v>15</v>
      </c>
      <c r="D458" s="3">
        <v>66</v>
      </c>
      <c r="E458" s="3">
        <v>91</v>
      </c>
      <c r="F458" s="3">
        <v>-25</v>
      </c>
    </row>
    <row r="459" spans="1:6">
      <c r="A459" s="7">
        <v>45839</v>
      </c>
      <c r="B459" t="s">
        <v>46</v>
      </c>
      <c r="C459" t="s">
        <v>15</v>
      </c>
      <c r="D459" s="3">
        <v>94</v>
      </c>
      <c r="E459" s="3">
        <v>88</v>
      </c>
      <c r="F459" s="3">
        <v>6</v>
      </c>
    </row>
    <row r="460" spans="1:6">
      <c r="A460" s="7">
        <v>45839</v>
      </c>
      <c r="B460" t="s">
        <v>47</v>
      </c>
      <c r="C460" t="s">
        <v>15</v>
      </c>
      <c r="D460" s="3">
        <v>86</v>
      </c>
      <c r="E460" s="3">
        <v>77</v>
      </c>
      <c r="F460" s="3">
        <v>9</v>
      </c>
    </row>
    <row r="461" spans="1:6">
      <c r="A461" s="7">
        <v>45839</v>
      </c>
      <c r="B461" t="s">
        <v>48</v>
      </c>
      <c r="C461" t="s">
        <v>15</v>
      </c>
      <c r="D461" s="3">
        <v>85</v>
      </c>
      <c r="E461" s="3">
        <v>93</v>
      </c>
      <c r="F461" s="3">
        <v>-8</v>
      </c>
    </row>
    <row r="462" spans="1:6">
      <c r="A462" s="7">
        <v>45839</v>
      </c>
      <c r="B462" t="s">
        <v>49</v>
      </c>
      <c r="C462" t="s">
        <v>20</v>
      </c>
      <c r="D462" s="3">
        <v>61</v>
      </c>
      <c r="E462" s="3">
        <v>103</v>
      </c>
      <c r="F462" s="3">
        <v>-42</v>
      </c>
    </row>
    <row r="463" spans="1:6">
      <c r="A463" s="7">
        <v>45839</v>
      </c>
      <c r="B463" t="s">
        <v>50</v>
      </c>
      <c r="C463" t="s">
        <v>20</v>
      </c>
      <c r="D463" s="3">
        <v>59</v>
      </c>
      <c r="E463" s="3">
        <v>102</v>
      </c>
      <c r="F463" s="3">
        <v>-43</v>
      </c>
    </row>
    <row r="464" spans="1:6">
      <c r="A464" s="7">
        <v>45839</v>
      </c>
      <c r="B464" t="s">
        <v>51</v>
      </c>
      <c r="C464" t="s">
        <v>20</v>
      </c>
      <c r="D464" s="3">
        <v>126</v>
      </c>
      <c r="E464" s="3">
        <v>82</v>
      </c>
      <c r="F464" s="3">
        <v>44</v>
      </c>
    </row>
    <row r="465" spans="1:6">
      <c r="A465" s="7">
        <v>45839</v>
      </c>
      <c r="B465" t="s">
        <v>52</v>
      </c>
      <c r="C465" t="s">
        <v>20</v>
      </c>
      <c r="D465" s="3">
        <v>61</v>
      </c>
      <c r="E465" s="3">
        <v>89</v>
      </c>
      <c r="F465" s="3">
        <v>-28</v>
      </c>
    </row>
    <row r="466" spans="1:6">
      <c r="A466" s="7">
        <v>45839</v>
      </c>
      <c r="B466" t="s">
        <v>53</v>
      </c>
      <c r="C466" t="s">
        <v>25</v>
      </c>
      <c r="D466" s="3">
        <v>57</v>
      </c>
      <c r="E466" s="3">
        <v>104</v>
      </c>
      <c r="F466" s="3">
        <v>-47</v>
      </c>
    </row>
    <row r="467" spans="1:6">
      <c r="A467" s="7">
        <v>45839</v>
      </c>
      <c r="B467" t="s">
        <v>54</v>
      </c>
      <c r="C467" t="s">
        <v>25</v>
      </c>
      <c r="D467" s="3">
        <v>87</v>
      </c>
      <c r="E467" s="3">
        <v>101</v>
      </c>
      <c r="F467" s="3">
        <v>-14</v>
      </c>
    </row>
    <row r="468" spans="1:6">
      <c r="A468" s="7">
        <v>45839</v>
      </c>
      <c r="B468" t="s">
        <v>55</v>
      </c>
      <c r="C468" t="s">
        <v>25</v>
      </c>
      <c r="D468" s="3">
        <v>99</v>
      </c>
      <c r="E468" s="3">
        <v>102</v>
      </c>
      <c r="F468" s="3">
        <v>-3</v>
      </c>
    </row>
    <row r="469" spans="1:6">
      <c r="A469" s="7">
        <v>45839</v>
      </c>
      <c r="B469" t="s">
        <v>56</v>
      </c>
      <c r="C469" t="s">
        <v>25</v>
      </c>
      <c r="D469" s="3">
        <v>67</v>
      </c>
      <c r="E469" s="3">
        <v>90</v>
      </c>
      <c r="F469" s="3">
        <v>-23</v>
      </c>
    </row>
    <row r="470" spans="1:6">
      <c r="A470" s="7">
        <v>45839</v>
      </c>
      <c r="B470" t="s">
        <v>57</v>
      </c>
      <c r="C470" t="s">
        <v>15</v>
      </c>
      <c r="D470" s="3">
        <v>108</v>
      </c>
      <c r="E470" s="3">
        <v>145</v>
      </c>
      <c r="F470" s="3">
        <v>-37</v>
      </c>
    </row>
    <row r="471" spans="1:6">
      <c r="A471" s="7">
        <v>45839</v>
      </c>
      <c r="B471" t="s">
        <v>60</v>
      </c>
      <c r="C471" t="s">
        <v>15</v>
      </c>
      <c r="D471" s="3">
        <v>95</v>
      </c>
      <c r="E471" s="3">
        <v>172</v>
      </c>
      <c r="F471" s="3">
        <v>-77</v>
      </c>
    </row>
    <row r="472" spans="1:6">
      <c r="A472" s="7">
        <v>45839</v>
      </c>
      <c r="B472" t="s">
        <v>61</v>
      </c>
      <c r="C472" t="s">
        <v>15</v>
      </c>
      <c r="D472" s="3">
        <v>191</v>
      </c>
      <c r="E472" s="3">
        <v>145</v>
      </c>
      <c r="F472" s="3">
        <v>46</v>
      </c>
    </row>
    <row r="473" spans="1:6">
      <c r="A473" s="7">
        <v>45839</v>
      </c>
      <c r="B473" t="s">
        <v>62</v>
      </c>
      <c r="C473" t="s">
        <v>15</v>
      </c>
      <c r="D473" s="3">
        <v>80</v>
      </c>
      <c r="E473" s="3">
        <v>144</v>
      </c>
      <c r="F473" s="3">
        <v>-64</v>
      </c>
    </row>
    <row r="474" spans="1:6">
      <c r="A474" s="7">
        <v>45839</v>
      </c>
      <c r="B474" t="s">
        <v>63</v>
      </c>
      <c r="C474" t="s">
        <v>20</v>
      </c>
      <c r="D474" s="3">
        <v>88</v>
      </c>
      <c r="E474" s="3">
        <v>140</v>
      </c>
      <c r="F474" s="3">
        <v>-52</v>
      </c>
    </row>
    <row r="475" spans="1:6">
      <c r="A475" s="7">
        <v>45839</v>
      </c>
      <c r="B475" t="s">
        <v>64</v>
      </c>
      <c r="C475" t="s">
        <v>20</v>
      </c>
      <c r="D475" s="3">
        <v>100</v>
      </c>
      <c r="E475" s="3">
        <v>141</v>
      </c>
      <c r="F475" s="3">
        <v>-41</v>
      </c>
    </row>
    <row r="476" spans="1:6">
      <c r="A476" s="7">
        <v>45839</v>
      </c>
      <c r="B476" t="s">
        <v>65</v>
      </c>
      <c r="C476" t="s">
        <v>20</v>
      </c>
      <c r="D476" s="3">
        <v>208</v>
      </c>
      <c r="E476" s="3">
        <v>183</v>
      </c>
      <c r="F476" s="3">
        <v>25</v>
      </c>
    </row>
    <row r="477" spans="1:6">
      <c r="A477" s="7">
        <v>45839</v>
      </c>
      <c r="B477" t="s">
        <v>66</v>
      </c>
      <c r="C477" t="s">
        <v>20</v>
      </c>
      <c r="D477" s="3">
        <v>149</v>
      </c>
      <c r="E477" s="3">
        <v>126</v>
      </c>
      <c r="F477" s="3">
        <v>23</v>
      </c>
    </row>
    <row r="478" spans="1:6">
      <c r="A478" s="7">
        <v>45839</v>
      </c>
      <c r="B478" t="s">
        <v>67</v>
      </c>
      <c r="C478" t="s">
        <v>25</v>
      </c>
      <c r="D478" s="3">
        <v>128</v>
      </c>
      <c r="E478" s="3">
        <v>109</v>
      </c>
      <c r="F478" s="3">
        <v>19</v>
      </c>
    </row>
    <row r="479" spans="1:6">
      <c r="A479" s="7">
        <v>45839</v>
      </c>
      <c r="B479" t="s">
        <v>68</v>
      </c>
      <c r="C479" t="s">
        <v>25</v>
      </c>
      <c r="D479" s="3">
        <v>109</v>
      </c>
      <c r="E479" s="3">
        <v>133</v>
      </c>
      <c r="F479" s="3">
        <v>-24</v>
      </c>
    </row>
    <row r="480" spans="1:6">
      <c r="A480" s="7">
        <v>45839</v>
      </c>
      <c r="B480" t="s">
        <v>69</v>
      </c>
      <c r="C480" t="s">
        <v>25</v>
      </c>
      <c r="D480" s="3">
        <v>106</v>
      </c>
      <c r="E480" s="3">
        <v>143</v>
      </c>
      <c r="F480" s="3">
        <v>-37</v>
      </c>
    </row>
    <row r="481" spans="1:6">
      <c r="A481" s="7">
        <v>45839</v>
      </c>
      <c r="B481" t="s">
        <v>70</v>
      </c>
      <c r="C481" t="s">
        <v>25</v>
      </c>
      <c r="D481" s="3">
        <v>105</v>
      </c>
      <c r="E481" s="3">
        <v>138</v>
      </c>
      <c r="F481" s="3">
        <v>-33</v>
      </c>
    </row>
    <row r="482" spans="1:6">
      <c r="A482" s="7">
        <v>45839</v>
      </c>
      <c r="B482" t="s">
        <v>71</v>
      </c>
      <c r="C482" t="s">
        <v>15</v>
      </c>
      <c r="D482" s="3">
        <v>83</v>
      </c>
      <c r="E482" s="3">
        <v>70</v>
      </c>
      <c r="F482" s="3">
        <v>13</v>
      </c>
    </row>
    <row r="483" spans="1:6">
      <c r="A483" s="7">
        <v>45839</v>
      </c>
      <c r="B483" t="s">
        <v>74</v>
      </c>
      <c r="C483" t="s">
        <v>15</v>
      </c>
      <c r="D483" s="3">
        <v>74</v>
      </c>
      <c r="E483" s="3">
        <v>65</v>
      </c>
      <c r="F483" s="3">
        <v>9</v>
      </c>
    </row>
    <row r="484" spans="1:6">
      <c r="A484" s="7">
        <v>45839</v>
      </c>
      <c r="B484" t="s">
        <v>75</v>
      </c>
      <c r="C484" t="s">
        <v>15</v>
      </c>
      <c r="D484" s="3">
        <v>69</v>
      </c>
      <c r="E484" s="3">
        <v>51</v>
      </c>
      <c r="F484" s="3">
        <v>18</v>
      </c>
    </row>
    <row r="485" spans="1:6">
      <c r="A485" s="7">
        <v>45839</v>
      </c>
      <c r="B485" t="s">
        <v>76</v>
      </c>
      <c r="C485" t="s">
        <v>15</v>
      </c>
      <c r="D485" s="3">
        <v>42</v>
      </c>
      <c r="E485" s="3">
        <v>61</v>
      </c>
      <c r="F485" s="3">
        <v>-19</v>
      </c>
    </row>
    <row r="486" spans="1:6">
      <c r="A486" s="7">
        <v>45839</v>
      </c>
      <c r="B486" t="s">
        <v>77</v>
      </c>
      <c r="C486" t="s">
        <v>20</v>
      </c>
      <c r="D486" s="3">
        <v>64</v>
      </c>
      <c r="E486" s="3">
        <v>72</v>
      </c>
      <c r="F486" s="3">
        <v>-8</v>
      </c>
    </row>
    <row r="487" spans="1:6">
      <c r="A487" s="7">
        <v>45839</v>
      </c>
      <c r="B487" t="s">
        <v>78</v>
      </c>
      <c r="C487" t="s">
        <v>20</v>
      </c>
      <c r="D487" s="3">
        <v>75</v>
      </c>
      <c r="E487" s="3">
        <v>67</v>
      </c>
      <c r="F487" s="3">
        <v>8</v>
      </c>
    </row>
    <row r="488" spans="1:6">
      <c r="A488" s="7">
        <v>45839</v>
      </c>
      <c r="B488" t="s">
        <v>79</v>
      </c>
      <c r="C488" t="s">
        <v>20</v>
      </c>
      <c r="D488" s="3">
        <v>75</v>
      </c>
      <c r="E488" s="3">
        <v>53</v>
      </c>
      <c r="F488" s="3">
        <v>22</v>
      </c>
    </row>
    <row r="489" spans="1:6">
      <c r="A489" s="7">
        <v>45839</v>
      </c>
      <c r="B489" t="s">
        <v>80</v>
      </c>
      <c r="C489" t="s">
        <v>20</v>
      </c>
      <c r="D489" s="3">
        <v>64</v>
      </c>
      <c r="E489" s="3">
        <v>59</v>
      </c>
      <c r="F489" s="3">
        <v>5</v>
      </c>
    </row>
    <row r="490" spans="1:6">
      <c r="A490" s="7">
        <v>45839</v>
      </c>
      <c r="B490" t="s">
        <v>81</v>
      </c>
      <c r="C490" t="s">
        <v>25</v>
      </c>
      <c r="D490" s="3">
        <v>62</v>
      </c>
      <c r="E490" s="3">
        <v>72</v>
      </c>
      <c r="F490" s="3">
        <v>-10</v>
      </c>
    </row>
    <row r="491" spans="1:6">
      <c r="A491" s="7">
        <v>45839</v>
      </c>
      <c r="B491" t="s">
        <v>82</v>
      </c>
      <c r="C491" t="s">
        <v>25</v>
      </c>
      <c r="D491" s="3">
        <v>48</v>
      </c>
      <c r="E491" s="3">
        <v>51</v>
      </c>
      <c r="F491" s="3">
        <v>-3</v>
      </c>
    </row>
    <row r="492" spans="1:6">
      <c r="A492" s="7">
        <v>45839</v>
      </c>
      <c r="B492" t="s">
        <v>83</v>
      </c>
      <c r="C492" t="s">
        <v>25</v>
      </c>
      <c r="D492" s="3">
        <v>95</v>
      </c>
      <c r="E492" s="3">
        <v>73</v>
      </c>
      <c r="F492" s="3">
        <v>22</v>
      </c>
    </row>
    <row r="493" spans="1:6">
      <c r="A493" s="7">
        <v>45839</v>
      </c>
      <c r="B493" t="s">
        <v>84</v>
      </c>
      <c r="C493" t="s">
        <v>25</v>
      </c>
      <c r="D493" s="3">
        <v>47</v>
      </c>
      <c r="E493" s="3">
        <v>59</v>
      </c>
      <c r="F493" s="3">
        <v>-12</v>
      </c>
    </row>
    <row r="494" spans="1:6">
      <c r="A494" s="7">
        <v>45839</v>
      </c>
      <c r="B494" t="s">
        <v>85</v>
      </c>
      <c r="C494" t="s">
        <v>15</v>
      </c>
      <c r="D494" s="3">
        <v>67</v>
      </c>
      <c r="E494" s="3">
        <v>53</v>
      </c>
      <c r="F494" s="3">
        <v>14</v>
      </c>
    </row>
    <row r="495" spans="1:6">
      <c r="A495" s="7">
        <v>45839</v>
      </c>
      <c r="B495" t="s">
        <v>88</v>
      </c>
      <c r="C495" t="s">
        <v>15</v>
      </c>
      <c r="D495" s="3">
        <v>41</v>
      </c>
      <c r="E495" s="3">
        <v>53</v>
      </c>
      <c r="F495" s="3">
        <v>-12</v>
      </c>
    </row>
    <row r="496" spans="1:6">
      <c r="A496" s="7">
        <v>45839</v>
      </c>
      <c r="B496" t="s">
        <v>89</v>
      </c>
      <c r="C496" t="s">
        <v>15</v>
      </c>
      <c r="D496" s="3">
        <v>47</v>
      </c>
      <c r="E496" s="3">
        <v>54</v>
      </c>
      <c r="F496" s="3">
        <v>-7</v>
      </c>
    </row>
    <row r="497" spans="1:6">
      <c r="A497" s="7">
        <v>45839</v>
      </c>
      <c r="B497" t="s">
        <v>90</v>
      </c>
      <c r="C497" t="s">
        <v>15</v>
      </c>
      <c r="D497" s="3">
        <v>43</v>
      </c>
      <c r="E497" s="3">
        <v>47</v>
      </c>
      <c r="F497" s="3">
        <v>-4</v>
      </c>
    </row>
    <row r="498" spans="1:6">
      <c r="A498" s="7">
        <v>45839</v>
      </c>
      <c r="B498" t="s">
        <v>91</v>
      </c>
      <c r="C498" t="s">
        <v>20</v>
      </c>
      <c r="D498" s="3">
        <v>43</v>
      </c>
      <c r="E498" s="3">
        <v>59</v>
      </c>
      <c r="F498" s="3">
        <v>-16</v>
      </c>
    </row>
    <row r="499" spans="1:6">
      <c r="A499" s="7">
        <v>45839</v>
      </c>
      <c r="B499" t="s">
        <v>92</v>
      </c>
      <c r="C499" t="s">
        <v>20</v>
      </c>
      <c r="D499" s="3">
        <v>57</v>
      </c>
      <c r="E499" s="3">
        <v>63</v>
      </c>
      <c r="F499" s="3">
        <v>-6</v>
      </c>
    </row>
    <row r="500" spans="1:6">
      <c r="A500" s="7">
        <v>45839</v>
      </c>
      <c r="B500" t="s">
        <v>93</v>
      </c>
      <c r="C500" t="s">
        <v>20</v>
      </c>
      <c r="D500" s="3">
        <v>34</v>
      </c>
      <c r="E500" s="3">
        <v>43</v>
      </c>
      <c r="F500" s="3">
        <v>-9</v>
      </c>
    </row>
    <row r="501" spans="1:6">
      <c r="A501" s="7">
        <v>45839</v>
      </c>
      <c r="B501" t="s">
        <v>94</v>
      </c>
      <c r="C501" t="s">
        <v>20</v>
      </c>
      <c r="D501" s="3">
        <v>47</v>
      </c>
      <c r="E501" s="3">
        <v>38</v>
      </c>
      <c r="F501" s="3">
        <v>9</v>
      </c>
    </row>
    <row r="502" spans="1:6">
      <c r="A502" s="7">
        <v>45839</v>
      </c>
      <c r="B502" t="s">
        <v>95</v>
      </c>
      <c r="C502" t="s">
        <v>25</v>
      </c>
      <c r="D502" s="3">
        <v>70</v>
      </c>
      <c r="E502" s="3">
        <v>62</v>
      </c>
      <c r="F502" s="3">
        <v>8</v>
      </c>
    </row>
    <row r="503" spans="1:6">
      <c r="A503" s="7">
        <v>45839</v>
      </c>
      <c r="B503" t="s">
        <v>96</v>
      </c>
      <c r="C503" t="s">
        <v>25</v>
      </c>
      <c r="D503" s="3">
        <v>28</v>
      </c>
      <c r="E503" s="3">
        <v>44</v>
      </c>
      <c r="F503" s="3">
        <v>-16</v>
      </c>
    </row>
    <row r="504" spans="1:6">
      <c r="A504" s="7">
        <v>45839</v>
      </c>
      <c r="B504" t="s">
        <v>97</v>
      </c>
      <c r="C504" t="s">
        <v>25</v>
      </c>
      <c r="D504" s="3">
        <v>52</v>
      </c>
      <c r="E504" s="3">
        <v>48</v>
      </c>
      <c r="F504" s="3">
        <v>4</v>
      </c>
    </row>
    <row r="505" spans="1:6">
      <c r="A505" s="7">
        <v>45839</v>
      </c>
      <c r="B505" t="s">
        <v>98</v>
      </c>
      <c r="C505" t="s">
        <v>25</v>
      </c>
      <c r="D505" s="3">
        <v>35</v>
      </c>
      <c r="E505" s="3">
        <v>51</v>
      </c>
      <c r="F505" s="3">
        <v>-16</v>
      </c>
    </row>
    <row r="506" spans="1:6">
      <c r="A506" s="7">
        <v>45870</v>
      </c>
      <c r="B506" t="s">
        <v>12</v>
      </c>
      <c r="C506" t="s">
        <v>15</v>
      </c>
      <c r="D506" s="3">
        <v>89</v>
      </c>
      <c r="E506" s="3">
        <v>92</v>
      </c>
      <c r="F506" s="3">
        <v>-3</v>
      </c>
    </row>
    <row r="507" spans="1:6">
      <c r="A507" s="7">
        <v>45870</v>
      </c>
      <c r="B507" t="s">
        <v>16</v>
      </c>
      <c r="C507" t="s">
        <v>15</v>
      </c>
      <c r="D507" s="3">
        <v>111</v>
      </c>
      <c r="E507" s="3">
        <v>98</v>
      </c>
      <c r="F507" s="3">
        <v>13</v>
      </c>
    </row>
    <row r="508" spans="1:6">
      <c r="A508" s="7">
        <v>45870</v>
      </c>
      <c r="B508" t="s">
        <v>17</v>
      </c>
      <c r="C508" t="s">
        <v>15</v>
      </c>
      <c r="D508" s="3">
        <v>124</v>
      </c>
      <c r="E508" s="3">
        <v>92</v>
      </c>
      <c r="F508" s="3">
        <v>32</v>
      </c>
    </row>
    <row r="509" spans="1:6">
      <c r="A509" s="7">
        <v>45870</v>
      </c>
      <c r="B509" t="s">
        <v>18</v>
      </c>
      <c r="C509" t="s">
        <v>15</v>
      </c>
      <c r="D509" s="3">
        <v>77</v>
      </c>
      <c r="E509" s="3">
        <v>74</v>
      </c>
      <c r="F509" s="3">
        <v>3</v>
      </c>
    </row>
    <row r="510" spans="1:6">
      <c r="A510" s="7">
        <v>45870</v>
      </c>
      <c r="B510" t="s">
        <v>19</v>
      </c>
      <c r="C510" t="s">
        <v>20</v>
      </c>
      <c r="D510" s="3">
        <v>73</v>
      </c>
      <c r="E510" s="3">
        <v>89</v>
      </c>
      <c r="F510" s="3">
        <v>-16</v>
      </c>
    </row>
    <row r="511" spans="1:6">
      <c r="A511" s="7">
        <v>45870</v>
      </c>
      <c r="B511" t="s">
        <v>21</v>
      </c>
      <c r="C511" t="s">
        <v>20</v>
      </c>
      <c r="D511" s="3">
        <v>100</v>
      </c>
      <c r="E511" s="3">
        <v>93</v>
      </c>
      <c r="F511" s="3">
        <v>7</v>
      </c>
    </row>
    <row r="512" spans="1:6">
      <c r="A512" s="7">
        <v>45870</v>
      </c>
      <c r="B512" t="s">
        <v>22</v>
      </c>
      <c r="C512" t="s">
        <v>20</v>
      </c>
      <c r="D512" s="3">
        <v>56</v>
      </c>
      <c r="E512" s="3">
        <v>77</v>
      </c>
      <c r="F512" s="3">
        <v>-21</v>
      </c>
    </row>
    <row r="513" spans="1:6">
      <c r="A513" s="7">
        <v>45870</v>
      </c>
      <c r="B513" t="s">
        <v>23</v>
      </c>
      <c r="C513" t="s">
        <v>20</v>
      </c>
      <c r="D513" s="3">
        <v>114</v>
      </c>
      <c r="E513" s="3">
        <v>83</v>
      </c>
      <c r="F513" s="3">
        <v>31</v>
      </c>
    </row>
    <row r="514" spans="1:6">
      <c r="A514" s="7">
        <v>45870</v>
      </c>
      <c r="B514" t="s">
        <v>24</v>
      </c>
      <c r="C514" t="s">
        <v>25</v>
      </c>
      <c r="D514" s="3">
        <v>83</v>
      </c>
      <c r="E514" s="3">
        <v>96</v>
      </c>
      <c r="F514" s="3">
        <v>-13</v>
      </c>
    </row>
    <row r="515" spans="1:6">
      <c r="A515" s="7">
        <v>45870</v>
      </c>
      <c r="B515" t="s">
        <v>26</v>
      </c>
      <c r="C515" t="s">
        <v>25</v>
      </c>
      <c r="D515" s="3">
        <v>97</v>
      </c>
      <c r="E515" s="3">
        <v>104</v>
      </c>
      <c r="F515" s="3">
        <v>-7</v>
      </c>
    </row>
    <row r="516" spans="1:6">
      <c r="A516" s="7">
        <v>45870</v>
      </c>
      <c r="B516" t="s">
        <v>27</v>
      </c>
      <c r="C516" t="s">
        <v>25</v>
      </c>
      <c r="D516" s="3">
        <v>58</v>
      </c>
      <c r="E516" s="3">
        <v>84</v>
      </c>
      <c r="F516" s="3">
        <v>-26</v>
      </c>
    </row>
    <row r="517" spans="1:6">
      <c r="A517" s="7">
        <v>45870</v>
      </c>
      <c r="B517" t="s">
        <v>28</v>
      </c>
      <c r="C517" t="s">
        <v>25</v>
      </c>
      <c r="D517" s="3">
        <v>88</v>
      </c>
      <c r="E517" s="3">
        <v>90</v>
      </c>
      <c r="F517" s="3">
        <v>-2</v>
      </c>
    </row>
    <row r="518" spans="1:6">
      <c r="A518" s="7">
        <v>45870</v>
      </c>
      <c r="B518" t="s">
        <v>29</v>
      </c>
      <c r="C518" t="s">
        <v>15</v>
      </c>
      <c r="D518" s="3">
        <v>92</v>
      </c>
      <c r="E518" s="3">
        <v>90</v>
      </c>
      <c r="F518" s="3">
        <v>2</v>
      </c>
    </row>
    <row r="519" spans="1:6">
      <c r="A519" s="7">
        <v>45870</v>
      </c>
      <c r="B519" t="s">
        <v>32</v>
      </c>
      <c r="C519" t="s">
        <v>15</v>
      </c>
      <c r="D519" s="3">
        <v>44</v>
      </c>
      <c r="E519" s="3">
        <v>58</v>
      </c>
      <c r="F519" s="3">
        <v>-14</v>
      </c>
    </row>
    <row r="520" spans="1:6">
      <c r="A520" s="7">
        <v>45870</v>
      </c>
      <c r="B520" t="s">
        <v>33</v>
      </c>
      <c r="C520" t="s">
        <v>15</v>
      </c>
      <c r="D520" s="3">
        <v>52</v>
      </c>
      <c r="E520" s="3">
        <v>66</v>
      </c>
      <c r="F520" s="3">
        <v>-14</v>
      </c>
    </row>
    <row r="521" spans="1:6">
      <c r="A521" s="7">
        <v>45870</v>
      </c>
      <c r="B521" t="s">
        <v>34</v>
      </c>
      <c r="C521" t="s">
        <v>15</v>
      </c>
      <c r="D521" s="3">
        <v>97</v>
      </c>
      <c r="E521" s="3">
        <v>66</v>
      </c>
      <c r="F521" s="3">
        <v>31</v>
      </c>
    </row>
    <row r="522" spans="1:6">
      <c r="A522" s="7">
        <v>45870</v>
      </c>
      <c r="B522" t="s">
        <v>35</v>
      </c>
      <c r="C522" t="s">
        <v>20</v>
      </c>
      <c r="D522" s="3">
        <v>63</v>
      </c>
      <c r="E522" s="3">
        <v>78</v>
      </c>
      <c r="F522" s="3">
        <v>-15</v>
      </c>
    </row>
    <row r="523" spans="1:6">
      <c r="A523" s="7">
        <v>45870</v>
      </c>
      <c r="B523" t="s">
        <v>36</v>
      </c>
      <c r="C523" t="s">
        <v>20</v>
      </c>
      <c r="D523" s="3">
        <v>53</v>
      </c>
      <c r="E523" s="3">
        <v>96</v>
      </c>
      <c r="F523" s="3">
        <v>-43</v>
      </c>
    </row>
    <row r="524" spans="1:6">
      <c r="A524" s="7">
        <v>45870</v>
      </c>
      <c r="B524" t="s">
        <v>37</v>
      </c>
      <c r="C524" t="s">
        <v>20</v>
      </c>
      <c r="D524" s="3">
        <v>96</v>
      </c>
      <c r="E524" s="3">
        <v>72</v>
      </c>
      <c r="F524" s="3">
        <v>24</v>
      </c>
    </row>
    <row r="525" spans="1:6">
      <c r="A525" s="7">
        <v>45870</v>
      </c>
      <c r="B525" t="s">
        <v>38</v>
      </c>
      <c r="C525" t="s">
        <v>20</v>
      </c>
      <c r="D525" s="3">
        <v>58</v>
      </c>
      <c r="E525" s="3">
        <v>70</v>
      </c>
      <c r="F525" s="3">
        <v>-12</v>
      </c>
    </row>
    <row r="526" spans="1:6">
      <c r="A526" s="7">
        <v>45870</v>
      </c>
      <c r="B526" t="s">
        <v>39</v>
      </c>
      <c r="C526" t="s">
        <v>25</v>
      </c>
      <c r="D526" s="3">
        <v>66</v>
      </c>
      <c r="E526" s="3">
        <v>71</v>
      </c>
      <c r="F526" s="3">
        <v>-5</v>
      </c>
    </row>
    <row r="527" spans="1:6">
      <c r="A527" s="7">
        <v>45870</v>
      </c>
      <c r="B527" t="s">
        <v>40</v>
      </c>
      <c r="C527" t="s">
        <v>25</v>
      </c>
      <c r="D527" s="3">
        <v>81</v>
      </c>
      <c r="E527" s="3">
        <v>95</v>
      </c>
      <c r="F527" s="3">
        <v>-14</v>
      </c>
    </row>
    <row r="528" spans="1:6">
      <c r="A528" s="7">
        <v>45870</v>
      </c>
      <c r="B528" t="s">
        <v>41</v>
      </c>
      <c r="C528" t="s">
        <v>25</v>
      </c>
      <c r="D528" s="3">
        <v>72</v>
      </c>
      <c r="E528" s="3">
        <v>88</v>
      </c>
      <c r="F528" s="3">
        <v>-16</v>
      </c>
    </row>
    <row r="529" spans="1:6">
      <c r="A529" s="7">
        <v>45870</v>
      </c>
      <c r="B529" t="s">
        <v>42</v>
      </c>
      <c r="C529" t="s">
        <v>25</v>
      </c>
      <c r="D529" s="3">
        <v>64</v>
      </c>
      <c r="E529" s="3">
        <v>67</v>
      </c>
      <c r="F529" s="3">
        <v>-3</v>
      </c>
    </row>
    <row r="530" spans="1:6">
      <c r="A530" s="7">
        <v>45870</v>
      </c>
      <c r="B530" t="s">
        <v>43</v>
      </c>
      <c r="C530" t="s">
        <v>15</v>
      </c>
      <c r="D530" s="3">
        <v>90</v>
      </c>
      <c r="E530" s="3">
        <v>88</v>
      </c>
      <c r="F530" s="3">
        <v>2</v>
      </c>
    </row>
    <row r="531" spans="1:6">
      <c r="A531" s="7">
        <v>45870</v>
      </c>
      <c r="B531" t="s">
        <v>46</v>
      </c>
      <c r="C531" t="s">
        <v>15</v>
      </c>
      <c r="D531" s="3">
        <v>95</v>
      </c>
      <c r="E531" s="3">
        <v>72</v>
      </c>
      <c r="F531" s="3">
        <v>23</v>
      </c>
    </row>
    <row r="532" spans="1:6">
      <c r="A532" s="7">
        <v>45870</v>
      </c>
      <c r="B532" t="s">
        <v>47</v>
      </c>
      <c r="C532" t="s">
        <v>15</v>
      </c>
      <c r="D532" s="3">
        <v>64</v>
      </c>
      <c r="E532" s="3">
        <v>78</v>
      </c>
      <c r="F532" s="3">
        <v>-14</v>
      </c>
    </row>
    <row r="533" spans="1:6">
      <c r="A533" s="7">
        <v>45870</v>
      </c>
      <c r="B533" t="s">
        <v>48</v>
      </c>
      <c r="C533" t="s">
        <v>15</v>
      </c>
      <c r="D533" s="3">
        <v>88</v>
      </c>
      <c r="E533" s="3">
        <v>86</v>
      </c>
      <c r="F533" s="3">
        <v>2</v>
      </c>
    </row>
    <row r="534" spans="1:6">
      <c r="A534" s="7">
        <v>45870</v>
      </c>
      <c r="B534" t="s">
        <v>49</v>
      </c>
      <c r="C534" t="s">
        <v>20</v>
      </c>
      <c r="D534" s="3">
        <v>111</v>
      </c>
      <c r="E534" s="3">
        <v>80</v>
      </c>
      <c r="F534" s="3">
        <v>31</v>
      </c>
    </row>
    <row r="535" spans="1:6">
      <c r="A535" s="7">
        <v>45870</v>
      </c>
      <c r="B535" t="s">
        <v>50</v>
      </c>
      <c r="C535" t="s">
        <v>20</v>
      </c>
      <c r="D535" s="3">
        <v>72</v>
      </c>
      <c r="E535" s="3">
        <v>78</v>
      </c>
      <c r="F535" s="3">
        <v>-6</v>
      </c>
    </row>
    <row r="536" spans="1:6">
      <c r="A536" s="7">
        <v>45870</v>
      </c>
      <c r="B536" t="s">
        <v>51</v>
      </c>
      <c r="C536" t="s">
        <v>20</v>
      </c>
      <c r="D536" s="3">
        <v>56</v>
      </c>
      <c r="E536" s="3">
        <v>107</v>
      </c>
      <c r="F536" s="3">
        <v>-51</v>
      </c>
    </row>
    <row r="537" spans="1:6">
      <c r="A537" s="7">
        <v>45870</v>
      </c>
      <c r="B537" t="s">
        <v>52</v>
      </c>
      <c r="C537" t="s">
        <v>20</v>
      </c>
      <c r="D537" s="3">
        <v>108</v>
      </c>
      <c r="E537" s="3">
        <v>71</v>
      </c>
      <c r="F537" s="3">
        <v>37</v>
      </c>
    </row>
    <row r="538" spans="1:6">
      <c r="A538" s="7">
        <v>45870</v>
      </c>
      <c r="B538" t="s">
        <v>53</v>
      </c>
      <c r="C538" t="s">
        <v>25</v>
      </c>
      <c r="D538" s="3">
        <v>119</v>
      </c>
      <c r="E538" s="3">
        <v>108</v>
      </c>
      <c r="F538" s="3">
        <v>11</v>
      </c>
    </row>
    <row r="539" spans="1:6">
      <c r="A539" s="7">
        <v>45870</v>
      </c>
      <c r="B539" t="s">
        <v>54</v>
      </c>
      <c r="C539" t="s">
        <v>25</v>
      </c>
      <c r="D539" s="3">
        <v>93</v>
      </c>
      <c r="E539" s="3">
        <v>80</v>
      </c>
      <c r="F539" s="3">
        <v>13</v>
      </c>
    </row>
    <row r="540" spans="1:6">
      <c r="A540" s="7">
        <v>45870</v>
      </c>
      <c r="B540" t="s">
        <v>55</v>
      </c>
      <c r="C540" t="s">
        <v>25</v>
      </c>
      <c r="D540" s="3">
        <v>113</v>
      </c>
      <c r="E540" s="3">
        <v>108</v>
      </c>
      <c r="F540" s="3">
        <v>5</v>
      </c>
    </row>
    <row r="541" spans="1:6">
      <c r="A541" s="7">
        <v>45870</v>
      </c>
      <c r="B541" t="s">
        <v>56</v>
      </c>
      <c r="C541" t="s">
        <v>25</v>
      </c>
      <c r="D541" s="3">
        <v>92</v>
      </c>
      <c r="E541" s="3">
        <v>94</v>
      </c>
      <c r="F541" s="3">
        <v>-2</v>
      </c>
    </row>
    <row r="542" spans="1:6">
      <c r="A542" s="7">
        <v>45870</v>
      </c>
      <c r="B542" t="s">
        <v>57</v>
      </c>
      <c r="C542" t="s">
        <v>15</v>
      </c>
      <c r="D542" s="3">
        <v>184</v>
      </c>
      <c r="E542" s="3">
        <v>138</v>
      </c>
      <c r="F542" s="3">
        <v>46</v>
      </c>
    </row>
    <row r="543" spans="1:6">
      <c r="A543" s="7">
        <v>45870</v>
      </c>
      <c r="B543" t="s">
        <v>60</v>
      </c>
      <c r="C543" t="s">
        <v>15</v>
      </c>
      <c r="D543" s="3">
        <v>201</v>
      </c>
      <c r="E543" s="3">
        <v>165</v>
      </c>
      <c r="F543" s="3">
        <v>36</v>
      </c>
    </row>
    <row r="544" spans="1:6">
      <c r="A544" s="7">
        <v>45870</v>
      </c>
      <c r="B544" t="s">
        <v>61</v>
      </c>
      <c r="C544" t="s">
        <v>15</v>
      </c>
      <c r="D544" s="3">
        <v>146</v>
      </c>
      <c r="E544" s="3">
        <v>166</v>
      </c>
      <c r="F544" s="3">
        <v>-20</v>
      </c>
    </row>
    <row r="545" spans="1:6">
      <c r="A545" s="7">
        <v>45870</v>
      </c>
      <c r="B545" t="s">
        <v>62</v>
      </c>
      <c r="C545" t="s">
        <v>15</v>
      </c>
      <c r="D545" s="3">
        <v>103</v>
      </c>
      <c r="E545" s="3">
        <v>153</v>
      </c>
      <c r="F545" s="3">
        <v>-50</v>
      </c>
    </row>
    <row r="546" spans="1:6">
      <c r="A546" s="7">
        <v>45870</v>
      </c>
      <c r="B546" t="s">
        <v>63</v>
      </c>
      <c r="C546" t="s">
        <v>20</v>
      </c>
      <c r="D546" s="3">
        <v>156</v>
      </c>
      <c r="E546" s="3">
        <v>144</v>
      </c>
      <c r="F546" s="3">
        <v>12</v>
      </c>
    </row>
    <row r="547" spans="1:6">
      <c r="A547" s="7">
        <v>45870</v>
      </c>
      <c r="B547" t="s">
        <v>64</v>
      </c>
      <c r="C547" t="s">
        <v>20</v>
      </c>
      <c r="D547" s="3">
        <v>113</v>
      </c>
      <c r="E547" s="3">
        <v>110</v>
      </c>
      <c r="F547" s="3">
        <v>3</v>
      </c>
    </row>
    <row r="548" spans="1:6">
      <c r="A548" s="7">
        <v>45870</v>
      </c>
      <c r="B548" t="s">
        <v>65</v>
      </c>
      <c r="C548" t="s">
        <v>20</v>
      </c>
      <c r="D548" s="3">
        <v>192</v>
      </c>
      <c r="E548" s="3">
        <v>145</v>
      </c>
      <c r="F548" s="3">
        <v>47</v>
      </c>
    </row>
    <row r="549" spans="1:6">
      <c r="A549" s="7">
        <v>45870</v>
      </c>
      <c r="B549" t="s">
        <v>66</v>
      </c>
      <c r="C549" t="s">
        <v>20</v>
      </c>
      <c r="D549" s="3">
        <v>88</v>
      </c>
      <c r="E549" s="3">
        <v>140</v>
      </c>
      <c r="F549" s="3">
        <v>-52</v>
      </c>
    </row>
    <row r="550" spans="1:6">
      <c r="A550" s="7">
        <v>45870</v>
      </c>
      <c r="B550" t="s">
        <v>67</v>
      </c>
      <c r="C550" t="s">
        <v>25</v>
      </c>
      <c r="D550" s="3">
        <v>90</v>
      </c>
      <c r="E550" s="3">
        <v>136</v>
      </c>
      <c r="F550" s="3">
        <v>-46</v>
      </c>
    </row>
    <row r="551" spans="1:6">
      <c r="A551" s="7">
        <v>45870</v>
      </c>
      <c r="B551" t="s">
        <v>68</v>
      </c>
      <c r="C551" t="s">
        <v>25</v>
      </c>
      <c r="D551" s="3">
        <v>112</v>
      </c>
      <c r="E551" s="3">
        <v>118</v>
      </c>
      <c r="F551" s="3">
        <v>-6</v>
      </c>
    </row>
    <row r="552" spans="1:6">
      <c r="A552" s="7">
        <v>45870</v>
      </c>
      <c r="B552" t="s">
        <v>69</v>
      </c>
      <c r="C552" t="s">
        <v>25</v>
      </c>
      <c r="D552" s="3">
        <v>166</v>
      </c>
      <c r="E552" s="3">
        <v>121</v>
      </c>
      <c r="F552" s="3">
        <v>45</v>
      </c>
    </row>
    <row r="553" spans="1:6">
      <c r="A553" s="7">
        <v>45870</v>
      </c>
      <c r="B553" t="s">
        <v>70</v>
      </c>
      <c r="C553" t="s">
        <v>25</v>
      </c>
      <c r="D553" s="3">
        <v>169</v>
      </c>
      <c r="E553" s="3">
        <v>138</v>
      </c>
      <c r="F553" s="3">
        <v>31</v>
      </c>
    </row>
    <row r="554" spans="1:6">
      <c r="A554" s="7">
        <v>45870</v>
      </c>
      <c r="B554" t="s">
        <v>71</v>
      </c>
      <c r="C554" t="s">
        <v>15</v>
      </c>
      <c r="D554" s="3">
        <v>65</v>
      </c>
      <c r="E554" s="3">
        <v>61</v>
      </c>
      <c r="F554" s="3">
        <v>4</v>
      </c>
    </row>
    <row r="555" spans="1:6">
      <c r="A555" s="7">
        <v>45870</v>
      </c>
      <c r="B555" t="s">
        <v>74</v>
      </c>
      <c r="C555" t="s">
        <v>15</v>
      </c>
      <c r="D555" s="3">
        <v>42</v>
      </c>
      <c r="E555" s="3">
        <v>64</v>
      </c>
      <c r="F555" s="3">
        <v>-22</v>
      </c>
    </row>
    <row r="556" spans="1:6">
      <c r="A556" s="7">
        <v>45870</v>
      </c>
      <c r="B556" t="s">
        <v>75</v>
      </c>
      <c r="C556" t="s">
        <v>15</v>
      </c>
      <c r="D556" s="3">
        <v>41</v>
      </c>
      <c r="E556" s="3">
        <v>68</v>
      </c>
      <c r="F556" s="3">
        <v>-27</v>
      </c>
    </row>
    <row r="557" spans="1:6">
      <c r="A557" s="7">
        <v>45870</v>
      </c>
      <c r="B557" t="s">
        <v>76</v>
      </c>
      <c r="C557" t="s">
        <v>15</v>
      </c>
      <c r="D557" s="3">
        <v>62</v>
      </c>
      <c r="E557" s="3">
        <v>63</v>
      </c>
      <c r="F557" s="3">
        <v>-1</v>
      </c>
    </row>
    <row r="558" spans="1:6">
      <c r="A558" s="7">
        <v>45870</v>
      </c>
      <c r="B558" t="s">
        <v>77</v>
      </c>
      <c r="C558" t="s">
        <v>20</v>
      </c>
      <c r="D558" s="3">
        <v>74</v>
      </c>
      <c r="E558" s="3">
        <v>70</v>
      </c>
      <c r="F558" s="3">
        <v>4</v>
      </c>
    </row>
    <row r="559" spans="1:6">
      <c r="A559" s="7">
        <v>45870</v>
      </c>
      <c r="B559" t="s">
        <v>78</v>
      </c>
      <c r="C559" t="s">
        <v>20</v>
      </c>
      <c r="D559" s="3">
        <v>83</v>
      </c>
      <c r="E559" s="3">
        <v>59</v>
      </c>
      <c r="F559" s="3">
        <v>24</v>
      </c>
    </row>
    <row r="560" spans="1:6">
      <c r="A560" s="7">
        <v>45870</v>
      </c>
      <c r="B560" t="s">
        <v>79</v>
      </c>
      <c r="C560" t="s">
        <v>20</v>
      </c>
      <c r="D560" s="3">
        <v>49</v>
      </c>
      <c r="E560" s="3">
        <v>63</v>
      </c>
      <c r="F560" s="3">
        <v>-14</v>
      </c>
    </row>
    <row r="561" spans="1:6">
      <c r="A561" s="7">
        <v>45870</v>
      </c>
      <c r="B561" t="s">
        <v>80</v>
      </c>
      <c r="C561" t="s">
        <v>20</v>
      </c>
      <c r="D561" s="3">
        <v>71</v>
      </c>
      <c r="E561" s="3">
        <v>71</v>
      </c>
      <c r="F561" s="3">
        <v>0</v>
      </c>
    </row>
    <row r="562" spans="1:6">
      <c r="A562" s="7">
        <v>45870</v>
      </c>
      <c r="B562" t="s">
        <v>81</v>
      </c>
      <c r="C562" t="s">
        <v>25</v>
      </c>
      <c r="D562" s="3">
        <v>50</v>
      </c>
      <c r="E562" s="3">
        <v>87</v>
      </c>
      <c r="F562" s="3">
        <v>-37</v>
      </c>
    </row>
    <row r="563" spans="1:6">
      <c r="A563" s="7">
        <v>45870</v>
      </c>
      <c r="B563" t="s">
        <v>82</v>
      </c>
      <c r="C563" t="s">
        <v>25</v>
      </c>
      <c r="D563" s="3">
        <v>71</v>
      </c>
      <c r="E563" s="3">
        <v>60</v>
      </c>
      <c r="F563" s="3">
        <v>11</v>
      </c>
    </row>
    <row r="564" spans="1:6">
      <c r="A564" s="7">
        <v>45870</v>
      </c>
      <c r="B564" t="s">
        <v>83</v>
      </c>
      <c r="C564" t="s">
        <v>25</v>
      </c>
      <c r="D564" s="3">
        <v>79</v>
      </c>
      <c r="E564" s="3">
        <v>76</v>
      </c>
      <c r="F564" s="3">
        <v>3</v>
      </c>
    </row>
    <row r="565" spans="1:6">
      <c r="A565" s="7">
        <v>45870</v>
      </c>
      <c r="B565" t="s">
        <v>84</v>
      </c>
      <c r="C565" t="s">
        <v>25</v>
      </c>
      <c r="D565" s="3">
        <v>47</v>
      </c>
      <c r="E565" s="3">
        <v>53</v>
      </c>
      <c r="F565" s="3">
        <v>-6</v>
      </c>
    </row>
    <row r="566" spans="1:6">
      <c r="A566" s="7">
        <v>45870</v>
      </c>
      <c r="B566" t="s">
        <v>85</v>
      </c>
      <c r="C566" t="s">
        <v>15</v>
      </c>
      <c r="D566" s="3">
        <v>46</v>
      </c>
      <c r="E566" s="3">
        <v>59</v>
      </c>
      <c r="F566" s="3">
        <v>-13</v>
      </c>
    </row>
    <row r="567" spans="1:6">
      <c r="A567" s="7">
        <v>45870</v>
      </c>
      <c r="B567" t="s">
        <v>88</v>
      </c>
      <c r="C567" t="s">
        <v>15</v>
      </c>
      <c r="D567" s="3">
        <v>40</v>
      </c>
      <c r="E567" s="3">
        <v>43</v>
      </c>
      <c r="F567" s="3">
        <v>-3</v>
      </c>
    </row>
    <row r="568" spans="1:6">
      <c r="A568" s="7">
        <v>45870</v>
      </c>
      <c r="B568" t="s">
        <v>89</v>
      </c>
      <c r="C568" t="s">
        <v>15</v>
      </c>
      <c r="D568" s="3">
        <v>55</v>
      </c>
      <c r="E568" s="3">
        <v>55</v>
      </c>
      <c r="F568" s="3">
        <v>0</v>
      </c>
    </row>
    <row r="569" spans="1:6">
      <c r="A569" s="7">
        <v>45870</v>
      </c>
      <c r="B569" t="s">
        <v>90</v>
      </c>
      <c r="C569" t="s">
        <v>15</v>
      </c>
      <c r="D569" s="3">
        <v>51</v>
      </c>
      <c r="E569" s="3">
        <v>58</v>
      </c>
      <c r="F569" s="3">
        <v>-7</v>
      </c>
    </row>
    <row r="570" spans="1:6">
      <c r="A570" s="7">
        <v>45870</v>
      </c>
      <c r="B570" t="s">
        <v>91</v>
      </c>
      <c r="C570" t="s">
        <v>20</v>
      </c>
      <c r="D570" s="3">
        <v>58</v>
      </c>
      <c r="E570" s="3">
        <v>56</v>
      </c>
      <c r="F570" s="3">
        <v>2</v>
      </c>
    </row>
    <row r="571" spans="1:6">
      <c r="A571" s="7">
        <v>45870</v>
      </c>
      <c r="B571" t="s">
        <v>92</v>
      </c>
      <c r="C571" t="s">
        <v>20</v>
      </c>
      <c r="D571" s="3">
        <v>44</v>
      </c>
      <c r="E571" s="3">
        <v>53</v>
      </c>
      <c r="F571" s="3">
        <v>-9</v>
      </c>
    </row>
    <row r="572" spans="1:6">
      <c r="A572" s="7">
        <v>45870</v>
      </c>
      <c r="B572" t="s">
        <v>93</v>
      </c>
      <c r="C572" t="s">
        <v>20</v>
      </c>
      <c r="D572" s="3">
        <v>51</v>
      </c>
      <c r="E572" s="3">
        <v>50</v>
      </c>
      <c r="F572" s="3">
        <v>1</v>
      </c>
    </row>
    <row r="573" spans="1:6">
      <c r="A573" s="7">
        <v>45870</v>
      </c>
      <c r="B573" t="s">
        <v>94</v>
      </c>
      <c r="C573" t="s">
        <v>20</v>
      </c>
      <c r="D573" s="3">
        <v>50</v>
      </c>
      <c r="E573" s="3">
        <v>40</v>
      </c>
      <c r="F573" s="3">
        <v>10</v>
      </c>
    </row>
    <row r="574" spans="1:6">
      <c r="A574" s="7">
        <v>45870</v>
      </c>
      <c r="B574" t="s">
        <v>95</v>
      </c>
      <c r="C574" t="s">
        <v>25</v>
      </c>
      <c r="D574" s="3">
        <v>46</v>
      </c>
      <c r="E574" s="3">
        <v>49</v>
      </c>
      <c r="F574" s="3">
        <v>-3</v>
      </c>
    </row>
    <row r="575" spans="1:6">
      <c r="A575" s="7">
        <v>45870</v>
      </c>
      <c r="B575" t="s">
        <v>96</v>
      </c>
      <c r="C575" t="s">
        <v>25</v>
      </c>
      <c r="D575" s="3">
        <v>29</v>
      </c>
      <c r="E575" s="3">
        <v>44</v>
      </c>
      <c r="F575" s="3">
        <v>-15</v>
      </c>
    </row>
    <row r="576" spans="1:6">
      <c r="A576" s="7">
        <v>45870</v>
      </c>
      <c r="B576" t="s">
        <v>97</v>
      </c>
      <c r="C576" t="s">
        <v>25</v>
      </c>
      <c r="D576" s="3">
        <v>55</v>
      </c>
      <c r="E576" s="3">
        <v>48</v>
      </c>
      <c r="F576" s="3">
        <v>7</v>
      </c>
    </row>
    <row r="577" spans="1:6">
      <c r="A577" s="7">
        <v>45870</v>
      </c>
      <c r="B577" t="s">
        <v>98</v>
      </c>
      <c r="C577" t="s">
        <v>25</v>
      </c>
      <c r="D577" s="3">
        <v>71</v>
      </c>
      <c r="E577" s="3">
        <v>58</v>
      </c>
      <c r="F577" s="3">
        <v>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73"/>
  <sheetViews>
    <sheetView workbookViewId="0"/>
  </sheetViews>
  <sheetFormatPr defaultRowHeight="14.25"/>
  <cols>
    <col min="1" max="1" width="16.875" customWidth="1"/>
    <col min="2" max="2" width="12.375" customWidth="1"/>
    <col min="3" max="3" width="18.125" customWidth="1"/>
    <col min="4" max="4" width="18" customWidth="1"/>
    <col min="5" max="5" width="10.625" customWidth="1"/>
    <col min="6" max="6" width="15.25" customWidth="1"/>
    <col min="7" max="7" width="18.375" customWidth="1"/>
    <col min="8" max="8" width="18.125" customWidth="1"/>
    <col min="9" max="9" width="15.875" customWidth="1"/>
    <col min="10" max="10" width="18.875" customWidth="1"/>
    <col min="11" max="11" width="16" customWidth="1"/>
    <col min="12" max="12" width="17.625" customWidth="1"/>
    <col min="13" max="13" width="14.75" customWidth="1"/>
    <col min="14" max="14" width="13.75" customWidth="1"/>
    <col min="15" max="15" width="15.625" customWidth="1"/>
    <col min="16" max="16" width="27.75" customWidth="1"/>
    <col min="17" max="17" width="14.25" customWidth="1"/>
    <col min="18" max="18" width="19.75" customWidth="1"/>
  </cols>
  <sheetData>
    <row r="1" spans="1:18" ht="15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103</v>
      </c>
      <c r="M1" s="37" t="s">
        <v>104</v>
      </c>
      <c r="N1" s="37" t="s">
        <v>105</v>
      </c>
      <c r="O1" s="37" t="s">
        <v>106</v>
      </c>
      <c r="P1" s="37" t="s">
        <v>107</v>
      </c>
      <c r="Q1" s="37" t="s">
        <v>108</v>
      </c>
      <c r="R1" s="37" t="s">
        <v>109</v>
      </c>
    </row>
    <row r="2" spans="1:18">
      <c r="A2" s="23" t="str">
        <f>Raw_Inventory_Data!A2</f>
        <v>LAP-BIR-100</v>
      </c>
      <c r="B2" s="23" t="str">
        <f>Raw_Inventory_Data!B2</f>
        <v>Laptops</v>
      </c>
      <c r="C2" s="23" t="str">
        <f>Raw_Inventory_Data!C2</f>
        <v>TechSupply Co</v>
      </c>
      <c r="D2" s="23" t="str">
        <f>Raw_Inventory_Data!D2</f>
        <v>Birmingham DC</v>
      </c>
      <c r="E2" s="33">
        <f>Raw_Inventory_Data!E2</f>
        <v>387.23</v>
      </c>
      <c r="F2" s="23">
        <f>Raw_Inventory_Data!F2</f>
        <v>62</v>
      </c>
      <c r="G2" s="35">
        <f>Raw_Inventory_Data!G2</f>
        <v>19.399999999999999</v>
      </c>
      <c r="H2" s="23">
        <f>Raw_Inventory_Data!H2</f>
        <v>18</v>
      </c>
      <c r="I2" s="23">
        <f>Raw_Inventory_Data!I2</f>
        <v>1.28</v>
      </c>
      <c r="J2" s="23">
        <f>Raw_Inventory_Data!J2</f>
        <v>60</v>
      </c>
      <c r="K2" s="23">
        <f>Raw_Inventory_Data!K2</f>
        <v>0</v>
      </c>
      <c r="L2" s="33">
        <f t="shared" ref="L2:L33" si="0">E2*F2</f>
        <v>24008.260000000002</v>
      </c>
      <c r="M2" s="35">
        <f t="shared" ref="M2:M33" si="1">IFERROR((F2+K2)/G2,0)</f>
        <v>3.195876288659794</v>
      </c>
      <c r="N2" s="35">
        <f t="shared" ref="N2:N33" si="2">G2*SQRT(H2/7)*I2</f>
        <v>39.819786955015935</v>
      </c>
      <c r="O2" s="35">
        <f t="shared" ref="O2:O33" si="3">(G2*(H2/7))+N2</f>
        <v>89.705501240730229</v>
      </c>
      <c r="P2" s="35">
        <f t="shared" ref="P2:P33" si="4">(F2+K2)-(G2*(H2/7))</f>
        <v>12.114285714285714</v>
      </c>
      <c r="Q2" s="23" t="str">
        <f t="shared" ref="Q2:Q33" si="5">IF((F2+K2)&lt;=O2,"Reorder","Monitor")</f>
        <v>Reorder</v>
      </c>
      <c r="R2" s="23" t="str">
        <f t="shared" ref="R2:R33" si="6">IF(M2&gt;10,"Excess","OK")</f>
        <v>OK</v>
      </c>
    </row>
    <row r="3" spans="1:18">
      <c r="A3" s="23" t="str">
        <f>Raw_Inventory_Data!A3</f>
        <v>LAP-BIR-101</v>
      </c>
      <c r="B3" s="23" t="str">
        <f>Raw_Inventory_Data!B3</f>
        <v>Laptops</v>
      </c>
      <c r="C3" s="23" t="str">
        <f>Raw_Inventory_Data!C3</f>
        <v>TechSupply Co</v>
      </c>
      <c r="D3" s="23" t="str">
        <f>Raw_Inventory_Data!D3</f>
        <v>Birmingham DC</v>
      </c>
      <c r="E3" s="33">
        <f>Raw_Inventory_Data!E3</f>
        <v>396.31</v>
      </c>
      <c r="F3" s="23">
        <f>Raw_Inventory_Data!F3</f>
        <v>95</v>
      </c>
      <c r="G3" s="35">
        <f>Raw_Inventory_Data!G3</f>
        <v>23.6</v>
      </c>
      <c r="H3" s="23">
        <f>Raw_Inventory_Data!H3</f>
        <v>28</v>
      </c>
      <c r="I3" s="23">
        <f>Raw_Inventory_Data!I3</f>
        <v>1.1499999999999999</v>
      </c>
      <c r="J3" s="23">
        <f>Raw_Inventory_Data!J3</f>
        <v>25</v>
      </c>
      <c r="K3" s="23">
        <f>Raw_Inventory_Data!K3</f>
        <v>40</v>
      </c>
      <c r="L3" s="33">
        <f t="shared" si="0"/>
        <v>37649.449999999997</v>
      </c>
      <c r="M3" s="35">
        <f t="shared" si="1"/>
        <v>5.7203389830508469</v>
      </c>
      <c r="N3" s="35">
        <f t="shared" si="2"/>
        <v>54.28</v>
      </c>
      <c r="O3" s="35">
        <f t="shared" si="3"/>
        <v>148.68</v>
      </c>
      <c r="P3" s="35">
        <f t="shared" si="4"/>
        <v>40.599999999999994</v>
      </c>
      <c r="Q3" s="23" t="str">
        <f t="shared" si="5"/>
        <v>Reorder</v>
      </c>
      <c r="R3" s="23" t="str">
        <f t="shared" si="6"/>
        <v>OK</v>
      </c>
    </row>
    <row r="4" spans="1:18">
      <c r="A4" t="str">
        <f>Raw_Inventory_Data!A4</f>
        <v>LAP-BIR-102</v>
      </c>
      <c r="B4" t="str">
        <f>Raw_Inventory_Data!B4</f>
        <v>Laptops</v>
      </c>
      <c r="C4" t="str">
        <f>Raw_Inventory_Data!C4</f>
        <v>TechSupply Co</v>
      </c>
      <c r="D4" t="str">
        <f>Raw_Inventory_Data!D4</f>
        <v>Birmingham DC</v>
      </c>
      <c r="E4" s="2">
        <f>Raw_Inventory_Data!E4</f>
        <v>414.12</v>
      </c>
      <c r="F4">
        <f>Raw_Inventory_Data!F4</f>
        <v>164</v>
      </c>
      <c r="G4" s="4">
        <f>Raw_Inventory_Data!G4</f>
        <v>25.3</v>
      </c>
      <c r="H4">
        <f>Raw_Inventory_Data!H4</f>
        <v>7</v>
      </c>
      <c r="I4">
        <f>Raw_Inventory_Data!I4</f>
        <v>1.1499999999999999</v>
      </c>
      <c r="J4">
        <f>Raw_Inventory_Data!J4</f>
        <v>20</v>
      </c>
      <c r="K4">
        <f>Raw_Inventory_Data!K4</f>
        <v>20</v>
      </c>
      <c r="L4" s="2">
        <f t="shared" si="0"/>
        <v>67915.680000000008</v>
      </c>
      <c r="M4" s="4">
        <f t="shared" si="1"/>
        <v>7.2727272727272725</v>
      </c>
      <c r="N4" s="4">
        <f t="shared" si="2"/>
        <v>29.094999999999999</v>
      </c>
      <c r="O4" s="4">
        <f t="shared" si="3"/>
        <v>54.394999999999996</v>
      </c>
      <c r="P4" s="4">
        <f t="shared" si="4"/>
        <v>158.69999999999999</v>
      </c>
      <c r="Q4" t="str">
        <f t="shared" si="5"/>
        <v>Monitor</v>
      </c>
      <c r="R4" t="str">
        <f t="shared" si="6"/>
        <v>OK</v>
      </c>
    </row>
    <row r="5" spans="1:18">
      <c r="A5" t="str">
        <f>Raw_Inventory_Data!A5</f>
        <v>LAP-BIR-103</v>
      </c>
      <c r="B5" t="str">
        <f>Raw_Inventory_Data!B5</f>
        <v>Laptops</v>
      </c>
      <c r="C5" t="str">
        <f>Raw_Inventory_Data!C5</f>
        <v>TechSupply Co</v>
      </c>
      <c r="D5" t="str">
        <f>Raw_Inventory_Data!D5</f>
        <v>Birmingham DC</v>
      </c>
      <c r="E5" s="2">
        <f>Raw_Inventory_Data!E5</f>
        <v>400.24</v>
      </c>
      <c r="F5">
        <f>Raw_Inventory_Data!F5</f>
        <v>133</v>
      </c>
      <c r="G5" s="4">
        <f>Raw_Inventory_Data!G5</f>
        <v>21.3</v>
      </c>
      <c r="H5">
        <f>Raw_Inventory_Data!H5</f>
        <v>21</v>
      </c>
      <c r="I5">
        <f>Raw_Inventory_Data!I5</f>
        <v>1.28</v>
      </c>
      <c r="J5">
        <f>Raw_Inventory_Data!J5</f>
        <v>25</v>
      </c>
      <c r="K5">
        <f>Raw_Inventory_Data!K5</f>
        <v>20</v>
      </c>
      <c r="L5" s="2">
        <f t="shared" si="0"/>
        <v>53231.92</v>
      </c>
      <c r="M5" s="4">
        <f t="shared" si="1"/>
        <v>7.183098591549296</v>
      </c>
      <c r="N5" s="4">
        <f t="shared" si="2"/>
        <v>47.22263321755787</v>
      </c>
      <c r="O5" s="4">
        <f t="shared" si="3"/>
        <v>111.12263321755788</v>
      </c>
      <c r="P5" s="4">
        <f t="shared" si="4"/>
        <v>89.1</v>
      </c>
      <c r="Q5" t="str">
        <f t="shared" si="5"/>
        <v>Monitor</v>
      </c>
      <c r="R5" t="str">
        <f t="shared" si="6"/>
        <v>OK</v>
      </c>
    </row>
    <row r="6" spans="1:18">
      <c r="A6" t="str">
        <f>Raw_Inventory_Data!A6</f>
        <v>LAP-MAN-104</v>
      </c>
      <c r="B6" t="str">
        <f>Raw_Inventory_Data!B6</f>
        <v>Laptops</v>
      </c>
      <c r="C6" t="str">
        <f>Raw_Inventory_Data!C6</f>
        <v>TechSupply Co</v>
      </c>
      <c r="D6" t="str">
        <f>Raw_Inventory_Data!D6</f>
        <v>Manchester Hub</v>
      </c>
      <c r="E6" s="2">
        <f>Raw_Inventory_Data!E6</f>
        <v>442.76</v>
      </c>
      <c r="F6">
        <f>Raw_Inventory_Data!F6</f>
        <v>66</v>
      </c>
      <c r="G6" s="4">
        <f>Raw_Inventory_Data!G6</f>
        <v>21</v>
      </c>
      <c r="H6">
        <f>Raw_Inventory_Data!H6</f>
        <v>10</v>
      </c>
      <c r="I6">
        <f>Raw_Inventory_Data!I6</f>
        <v>1.28</v>
      </c>
      <c r="J6">
        <f>Raw_Inventory_Data!J6</f>
        <v>40</v>
      </c>
      <c r="K6">
        <f>Raw_Inventory_Data!K6</f>
        <v>40</v>
      </c>
      <c r="L6" s="2">
        <f t="shared" si="0"/>
        <v>29222.16</v>
      </c>
      <c r="M6" s="4">
        <f t="shared" si="1"/>
        <v>5.0476190476190474</v>
      </c>
      <c r="N6" s="4">
        <f t="shared" si="2"/>
        <v>32.127745018908499</v>
      </c>
      <c r="O6" s="4">
        <f t="shared" si="3"/>
        <v>62.127745018908499</v>
      </c>
      <c r="P6" s="4">
        <f t="shared" si="4"/>
        <v>76</v>
      </c>
      <c r="Q6" t="str">
        <f t="shared" si="5"/>
        <v>Monitor</v>
      </c>
      <c r="R6" t="str">
        <f t="shared" si="6"/>
        <v>OK</v>
      </c>
    </row>
    <row r="7" spans="1:18">
      <c r="A7" t="str">
        <f>Raw_Inventory_Data!A7</f>
        <v>LAP-MAN-105</v>
      </c>
      <c r="B7" t="str">
        <f>Raw_Inventory_Data!B7</f>
        <v>Laptops</v>
      </c>
      <c r="C7" t="str">
        <f>Raw_Inventory_Data!C7</f>
        <v>TechSupply Co</v>
      </c>
      <c r="D7" t="str">
        <f>Raw_Inventory_Data!D7</f>
        <v>Manchester Hub</v>
      </c>
      <c r="E7" s="2">
        <f>Raw_Inventory_Data!E7</f>
        <v>400.36</v>
      </c>
      <c r="F7">
        <f>Raw_Inventory_Data!F7</f>
        <v>127</v>
      </c>
      <c r="G7" s="4">
        <f>Raw_Inventory_Data!G7</f>
        <v>21.6</v>
      </c>
      <c r="H7">
        <f>Raw_Inventory_Data!H7</f>
        <v>14</v>
      </c>
      <c r="I7">
        <f>Raw_Inventory_Data!I7</f>
        <v>1.28</v>
      </c>
      <c r="J7">
        <f>Raw_Inventory_Data!J7</f>
        <v>30</v>
      </c>
      <c r="K7">
        <f>Raw_Inventory_Data!K7</f>
        <v>0</v>
      </c>
      <c r="L7" s="2">
        <f t="shared" si="0"/>
        <v>50845.72</v>
      </c>
      <c r="M7" s="4">
        <f t="shared" si="1"/>
        <v>5.8796296296296289</v>
      </c>
      <c r="N7" s="4">
        <f t="shared" si="2"/>
        <v>39.100176572491335</v>
      </c>
      <c r="O7" s="4">
        <f t="shared" si="3"/>
        <v>82.300176572491338</v>
      </c>
      <c r="P7" s="4">
        <f t="shared" si="4"/>
        <v>83.8</v>
      </c>
      <c r="Q7" t="str">
        <f t="shared" si="5"/>
        <v>Monitor</v>
      </c>
      <c r="R7" t="str">
        <f t="shared" si="6"/>
        <v>OK</v>
      </c>
    </row>
    <row r="8" spans="1:18">
      <c r="A8" t="str">
        <f>Raw_Inventory_Data!A8</f>
        <v>LAP-MAN-106</v>
      </c>
      <c r="B8" t="str">
        <f>Raw_Inventory_Data!B8</f>
        <v>Laptops</v>
      </c>
      <c r="C8" t="str">
        <f>Raw_Inventory_Data!C8</f>
        <v>TechSupply Co</v>
      </c>
      <c r="D8" t="str">
        <f>Raw_Inventory_Data!D8</f>
        <v>Manchester Hub</v>
      </c>
      <c r="E8" s="2">
        <f>Raw_Inventory_Data!E8</f>
        <v>404.1</v>
      </c>
      <c r="F8">
        <f>Raw_Inventory_Data!F8</f>
        <v>122</v>
      </c>
      <c r="G8" s="4">
        <f>Raw_Inventory_Data!G8</f>
        <v>20.6</v>
      </c>
      <c r="H8">
        <f>Raw_Inventory_Data!H8</f>
        <v>21</v>
      </c>
      <c r="I8">
        <f>Raw_Inventory_Data!I8</f>
        <v>1.55</v>
      </c>
      <c r="J8">
        <f>Raw_Inventory_Data!J8</f>
        <v>40</v>
      </c>
      <c r="K8">
        <f>Raw_Inventory_Data!K8</f>
        <v>10</v>
      </c>
      <c r="L8" s="2">
        <f t="shared" si="0"/>
        <v>49300.200000000004</v>
      </c>
      <c r="M8" s="4">
        <f t="shared" si="1"/>
        <v>6.407766990291262</v>
      </c>
      <c r="N8" s="4">
        <f t="shared" si="2"/>
        <v>55.304382285674251</v>
      </c>
      <c r="O8" s="4">
        <f t="shared" si="3"/>
        <v>117.10438228567426</v>
      </c>
      <c r="P8" s="4">
        <f t="shared" si="4"/>
        <v>70.199999999999989</v>
      </c>
      <c r="Q8" t="str">
        <f t="shared" si="5"/>
        <v>Monitor</v>
      </c>
      <c r="R8" t="str">
        <f t="shared" si="6"/>
        <v>OK</v>
      </c>
    </row>
    <row r="9" spans="1:18">
      <c r="A9" t="str">
        <f>Raw_Inventory_Data!A9</f>
        <v>LAP-MAN-107</v>
      </c>
      <c r="B9" t="str">
        <f>Raw_Inventory_Data!B9</f>
        <v>Laptops</v>
      </c>
      <c r="C9" t="str">
        <f>Raw_Inventory_Data!C9</f>
        <v>TechSupply Co</v>
      </c>
      <c r="D9" t="str">
        <f>Raw_Inventory_Data!D9</f>
        <v>Manchester Hub</v>
      </c>
      <c r="E9" s="2">
        <f>Raw_Inventory_Data!E9</f>
        <v>439.48</v>
      </c>
      <c r="F9">
        <f>Raw_Inventory_Data!F9</f>
        <v>78</v>
      </c>
      <c r="G9" s="4">
        <f>Raw_Inventory_Data!G9</f>
        <v>20.7</v>
      </c>
      <c r="H9">
        <f>Raw_Inventory_Data!H9</f>
        <v>10</v>
      </c>
      <c r="I9">
        <f>Raw_Inventory_Data!I9</f>
        <v>1.4</v>
      </c>
      <c r="J9">
        <f>Raw_Inventory_Data!J9</f>
        <v>20</v>
      </c>
      <c r="K9">
        <f>Raw_Inventory_Data!K9</f>
        <v>0</v>
      </c>
      <c r="L9" s="2">
        <f t="shared" si="0"/>
        <v>34279.440000000002</v>
      </c>
      <c r="M9" s="4">
        <f t="shared" si="1"/>
        <v>3.7681159420289858</v>
      </c>
      <c r="N9" s="4">
        <f t="shared" si="2"/>
        <v>34.637725098510721</v>
      </c>
      <c r="O9" s="4">
        <f t="shared" si="3"/>
        <v>64.209153669939298</v>
      </c>
      <c r="P9" s="4">
        <f t="shared" si="4"/>
        <v>48.428571428571431</v>
      </c>
      <c r="Q9" t="str">
        <f t="shared" si="5"/>
        <v>Monitor</v>
      </c>
      <c r="R9" t="str">
        <f t="shared" si="6"/>
        <v>OK</v>
      </c>
    </row>
    <row r="10" spans="1:18">
      <c r="A10" t="str">
        <f>Raw_Inventory_Data!A10</f>
        <v>LAP-LON-108</v>
      </c>
      <c r="B10" t="str">
        <f>Raw_Inventory_Data!B10</f>
        <v>Laptops</v>
      </c>
      <c r="C10" t="str">
        <f>Raw_Inventory_Data!C10</f>
        <v>TechSupply Co</v>
      </c>
      <c r="D10" t="str">
        <f>Raw_Inventory_Data!D10</f>
        <v>London Central</v>
      </c>
      <c r="E10" s="2">
        <f>Raw_Inventory_Data!E10</f>
        <v>431.4</v>
      </c>
      <c r="F10">
        <f>Raw_Inventory_Data!F10</f>
        <v>104</v>
      </c>
      <c r="G10" s="4">
        <f>Raw_Inventory_Data!G10</f>
        <v>20.6</v>
      </c>
      <c r="H10">
        <f>Raw_Inventory_Data!H10</f>
        <v>14</v>
      </c>
      <c r="I10">
        <f>Raw_Inventory_Data!I10</f>
        <v>1.28</v>
      </c>
      <c r="J10">
        <f>Raw_Inventory_Data!J10</f>
        <v>20</v>
      </c>
      <c r="K10">
        <f>Raw_Inventory_Data!K10</f>
        <v>10</v>
      </c>
      <c r="L10" s="2">
        <f t="shared" si="0"/>
        <v>44865.599999999999</v>
      </c>
      <c r="M10" s="4">
        <f t="shared" si="1"/>
        <v>5.5339805825242712</v>
      </c>
      <c r="N10" s="4">
        <f t="shared" si="2"/>
        <v>37.289983212653773</v>
      </c>
      <c r="O10" s="4">
        <f t="shared" si="3"/>
        <v>78.489983212653783</v>
      </c>
      <c r="P10" s="4">
        <f t="shared" si="4"/>
        <v>72.8</v>
      </c>
      <c r="Q10" t="str">
        <f t="shared" si="5"/>
        <v>Monitor</v>
      </c>
      <c r="R10" t="str">
        <f t="shared" si="6"/>
        <v>OK</v>
      </c>
    </row>
    <row r="11" spans="1:18">
      <c r="A11" t="str">
        <f>Raw_Inventory_Data!A11</f>
        <v>LAP-LON-109</v>
      </c>
      <c r="B11" t="str">
        <f>Raw_Inventory_Data!B11</f>
        <v>Laptops</v>
      </c>
      <c r="C11" t="str">
        <f>Raw_Inventory_Data!C11</f>
        <v>TechSupply Co</v>
      </c>
      <c r="D11" t="str">
        <f>Raw_Inventory_Data!D11</f>
        <v>London Central</v>
      </c>
      <c r="E11" s="2">
        <f>Raw_Inventory_Data!E11</f>
        <v>439.42</v>
      </c>
      <c r="F11">
        <f>Raw_Inventory_Data!F11</f>
        <v>155</v>
      </c>
      <c r="G11" s="4">
        <f>Raw_Inventory_Data!G11</f>
        <v>22.4</v>
      </c>
      <c r="H11">
        <f>Raw_Inventory_Data!H11</f>
        <v>7</v>
      </c>
      <c r="I11">
        <f>Raw_Inventory_Data!I11</f>
        <v>1.4</v>
      </c>
      <c r="J11">
        <f>Raw_Inventory_Data!J11</f>
        <v>20</v>
      </c>
      <c r="K11">
        <f>Raw_Inventory_Data!K11</f>
        <v>40</v>
      </c>
      <c r="L11" s="2">
        <f t="shared" si="0"/>
        <v>68110.100000000006</v>
      </c>
      <c r="M11" s="4">
        <f t="shared" si="1"/>
        <v>8.7053571428571441</v>
      </c>
      <c r="N11" s="4">
        <f t="shared" si="2"/>
        <v>31.359999999999996</v>
      </c>
      <c r="O11" s="4">
        <f t="shared" si="3"/>
        <v>53.759999999999991</v>
      </c>
      <c r="P11" s="4">
        <f t="shared" si="4"/>
        <v>172.6</v>
      </c>
      <c r="Q11" t="str">
        <f t="shared" si="5"/>
        <v>Monitor</v>
      </c>
      <c r="R11" t="str">
        <f t="shared" si="6"/>
        <v>OK</v>
      </c>
    </row>
    <row r="12" spans="1:18">
      <c r="A12" t="str">
        <f>Raw_Inventory_Data!A12</f>
        <v>LAP-LON-110</v>
      </c>
      <c r="B12" t="str">
        <f>Raw_Inventory_Data!B12</f>
        <v>Laptops</v>
      </c>
      <c r="C12" t="str">
        <f>Raw_Inventory_Data!C12</f>
        <v>TechSupply Co</v>
      </c>
      <c r="D12" t="str">
        <f>Raw_Inventory_Data!D12</f>
        <v>London Central</v>
      </c>
      <c r="E12" s="2">
        <f>Raw_Inventory_Data!E12</f>
        <v>399.91</v>
      </c>
      <c r="F12">
        <f>Raw_Inventory_Data!F12</f>
        <v>104</v>
      </c>
      <c r="G12" s="4">
        <f>Raw_Inventory_Data!G12</f>
        <v>19.8</v>
      </c>
      <c r="H12">
        <f>Raw_Inventory_Data!H12</f>
        <v>10</v>
      </c>
      <c r="I12">
        <f>Raw_Inventory_Data!I12</f>
        <v>1.55</v>
      </c>
      <c r="J12">
        <f>Raw_Inventory_Data!J12</f>
        <v>20</v>
      </c>
      <c r="K12">
        <f>Raw_Inventory_Data!K12</f>
        <v>30</v>
      </c>
      <c r="L12" s="2">
        <f t="shared" si="0"/>
        <v>41590.639999999999</v>
      </c>
      <c r="M12" s="4">
        <f t="shared" si="1"/>
        <v>6.7676767676767673</v>
      </c>
      <c r="N12" s="4">
        <f t="shared" si="2"/>
        <v>36.681566020472538</v>
      </c>
      <c r="O12" s="4">
        <f t="shared" si="3"/>
        <v>64.967280306186822</v>
      </c>
      <c r="P12" s="4">
        <f t="shared" si="4"/>
        <v>105.71428571428571</v>
      </c>
      <c r="Q12" t="str">
        <f t="shared" si="5"/>
        <v>Monitor</v>
      </c>
      <c r="R12" t="str">
        <f t="shared" si="6"/>
        <v>OK</v>
      </c>
    </row>
    <row r="13" spans="1:18">
      <c r="A13" t="str">
        <f>Raw_Inventory_Data!A13</f>
        <v>LAP-LON-111</v>
      </c>
      <c r="B13" t="str">
        <f>Raw_Inventory_Data!B13</f>
        <v>Laptops</v>
      </c>
      <c r="C13" t="str">
        <f>Raw_Inventory_Data!C13</f>
        <v>TechSupply Co</v>
      </c>
      <c r="D13" t="str">
        <f>Raw_Inventory_Data!D13</f>
        <v>London Central</v>
      </c>
      <c r="E13" s="2">
        <f>Raw_Inventory_Data!E13</f>
        <v>452.35</v>
      </c>
      <c r="F13">
        <f>Raw_Inventory_Data!F13</f>
        <v>114</v>
      </c>
      <c r="G13" s="4">
        <f>Raw_Inventory_Data!G13</f>
        <v>21.9</v>
      </c>
      <c r="H13">
        <f>Raw_Inventory_Data!H13</f>
        <v>21</v>
      </c>
      <c r="I13">
        <f>Raw_Inventory_Data!I13</f>
        <v>1.1499999999999999</v>
      </c>
      <c r="J13">
        <f>Raw_Inventory_Data!J13</f>
        <v>20</v>
      </c>
      <c r="K13">
        <f>Raw_Inventory_Data!K13</f>
        <v>40</v>
      </c>
      <c r="L13" s="2">
        <f t="shared" si="0"/>
        <v>51567.9</v>
      </c>
      <c r="M13" s="4">
        <f t="shared" si="1"/>
        <v>7.031963470319635</v>
      </c>
      <c r="N13" s="4">
        <f t="shared" si="2"/>
        <v>43.621699588622164</v>
      </c>
      <c r="O13" s="4">
        <f t="shared" si="3"/>
        <v>109.32169958862215</v>
      </c>
      <c r="P13" s="4">
        <f t="shared" si="4"/>
        <v>88.300000000000011</v>
      </c>
      <c r="Q13" t="str">
        <f t="shared" si="5"/>
        <v>Monitor</v>
      </c>
      <c r="R13" t="str">
        <f t="shared" si="6"/>
        <v>OK</v>
      </c>
    </row>
    <row r="14" spans="1:18">
      <c r="A14" t="str">
        <f>Raw_Inventory_Data!A14</f>
        <v>TAB-BIR-112</v>
      </c>
      <c r="B14" t="str">
        <f>Raw_Inventory_Data!B14</f>
        <v>Tablets</v>
      </c>
      <c r="C14" t="str">
        <f>Raw_Inventory_Data!C14</f>
        <v>DigitalSource Ltd</v>
      </c>
      <c r="D14" t="str">
        <f>Raw_Inventory_Data!D14</f>
        <v>Birmingham DC</v>
      </c>
      <c r="E14" s="2">
        <f>Raw_Inventory_Data!E14</f>
        <v>278.62</v>
      </c>
      <c r="F14">
        <f>Raw_Inventory_Data!F14</f>
        <v>59</v>
      </c>
      <c r="G14" s="4">
        <f>Raw_Inventory_Data!G14</f>
        <v>19.399999999999999</v>
      </c>
      <c r="H14">
        <f>Raw_Inventory_Data!H14</f>
        <v>18</v>
      </c>
      <c r="I14">
        <f>Raw_Inventory_Data!I14</f>
        <v>1.4</v>
      </c>
      <c r="J14">
        <f>Raw_Inventory_Data!J14</f>
        <v>25</v>
      </c>
      <c r="K14">
        <f>Raw_Inventory_Data!K14</f>
        <v>20</v>
      </c>
      <c r="L14" s="2">
        <f t="shared" si="0"/>
        <v>16438.580000000002</v>
      </c>
      <c r="M14" s="4">
        <f t="shared" si="1"/>
        <v>4.0721649484536089</v>
      </c>
      <c r="N14" s="4">
        <f t="shared" si="2"/>
        <v>43.552891982048678</v>
      </c>
      <c r="O14" s="4">
        <f t="shared" si="3"/>
        <v>93.438606267762964</v>
      </c>
      <c r="P14" s="4">
        <f t="shared" si="4"/>
        <v>29.114285714285714</v>
      </c>
      <c r="Q14" t="str">
        <f t="shared" si="5"/>
        <v>Reorder</v>
      </c>
      <c r="R14" t="str">
        <f t="shared" si="6"/>
        <v>OK</v>
      </c>
    </row>
    <row r="15" spans="1:18">
      <c r="A15" t="str">
        <f>Raw_Inventory_Data!A15</f>
        <v>TAB-BIR-113</v>
      </c>
      <c r="B15" t="str">
        <f>Raw_Inventory_Data!B15</f>
        <v>Tablets</v>
      </c>
      <c r="C15" t="str">
        <f>Raw_Inventory_Data!C15</f>
        <v>DigitalSource Ltd</v>
      </c>
      <c r="D15" t="str">
        <f>Raw_Inventory_Data!D15</f>
        <v>Birmingham DC</v>
      </c>
      <c r="E15" s="2">
        <f>Raw_Inventory_Data!E15</f>
        <v>274.97000000000003</v>
      </c>
      <c r="F15">
        <f>Raw_Inventory_Data!F15</f>
        <v>108</v>
      </c>
      <c r="G15" s="4">
        <f>Raw_Inventory_Data!G15</f>
        <v>15.5</v>
      </c>
      <c r="H15">
        <f>Raw_Inventory_Data!H15</f>
        <v>7</v>
      </c>
      <c r="I15">
        <f>Raw_Inventory_Data!I15</f>
        <v>1.1499999999999999</v>
      </c>
      <c r="J15">
        <f>Raw_Inventory_Data!J15</f>
        <v>50</v>
      </c>
      <c r="K15">
        <f>Raw_Inventory_Data!K15</f>
        <v>0</v>
      </c>
      <c r="L15" s="2">
        <f t="shared" si="0"/>
        <v>29696.760000000002</v>
      </c>
      <c r="M15" s="4">
        <f t="shared" si="1"/>
        <v>6.967741935483871</v>
      </c>
      <c r="N15" s="4">
        <f t="shared" si="2"/>
        <v>17.824999999999999</v>
      </c>
      <c r="O15" s="4">
        <f t="shared" si="3"/>
        <v>33.325000000000003</v>
      </c>
      <c r="P15" s="4">
        <f t="shared" si="4"/>
        <v>92.5</v>
      </c>
      <c r="Q15" t="str">
        <f t="shared" si="5"/>
        <v>Monitor</v>
      </c>
      <c r="R15" t="str">
        <f t="shared" si="6"/>
        <v>OK</v>
      </c>
    </row>
    <row r="16" spans="1:18">
      <c r="A16" t="str">
        <f>Raw_Inventory_Data!A16</f>
        <v>TAB-BIR-114</v>
      </c>
      <c r="B16" t="str">
        <f>Raw_Inventory_Data!B16</f>
        <v>Tablets</v>
      </c>
      <c r="C16" t="str">
        <f>Raw_Inventory_Data!C16</f>
        <v>DigitalSource Ltd</v>
      </c>
      <c r="D16" t="str">
        <f>Raw_Inventory_Data!D16</f>
        <v>Birmingham DC</v>
      </c>
      <c r="E16" s="2">
        <f>Raw_Inventory_Data!E16</f>
        <v>292.52999999999997</v>
      </c>
      <c r="F16">
        <f>Raw_Inventory_Data!F16</f>
        <v>98</v>
      </c>
      <c r="G16" s="4">
        <f>Raw_Inventory_Data!G16</f>
        <v>18.3</v>
      </c>
      <c r="H16">
        <f>Raw_Inventory_Data!H16</f>
        <v>21</v>
      </c>
      <c r="I16">
        <f>Raw_Inventory_Data!I16</f>
        <v>1.55</v>
      </c>
      <c r="J16">
        <f>Raw_Inventory_Data!J16</f>
        <v>25</v>
      </c>
      <c r="K16">
        <f>Raw_Inventory_Data!K16</f>
        <v>40</v>
      </c>
      <c r="L16" s="2">
        <f t="shared" si="0"/>
        <v>28667.94</v>
      </c>
      <c r="M16" s="4">
        <f t="shared" si="1"/>
        <v>7.5409836065573765</v>
      </c>
      <c r="N16" s="4">
        <f t="shared" si="2"/>
        <v>49.129621156691201</v>
      </c>
      <c r="O16" s="4">
        <f t="shared" si="3"/>
        <v>104.02962115669121</v>
      </c>
      <c r="P16" s="4">
        <f t="shared" si="4"/>
        <v>83.1</v>
      </c>
      <c r="Q16" t="str">
        <f t="shared" si="5"/>
        <v>Monitor</v>
      </c>
      <c r="R16" t="str">
        <f t="shared" si="6"/>
        <v>OK</v>
      </c>
    </row>
    <row r="17" spans="1:18">
      <c r="A17" t="str">
        <f>Raw_Inventory_Data!A17</f>
        <v>TAB-BIR-115</v>
      </c>
      <c r="B17" t="str">
        <f>Raw_Inventory_Data!B17</f>
        <v>Tablets</v>
      </c>
      <c r="C17" t="str">
        <f>Raw_Inventory_Data!C17</f>
        <v>DigitalSource Ltd</v>
      </c>
      <c r="D17" t="str">
        <f>Raw_Inventory_Data!D17</f>
        <v>Birmingham DC</v>
      </c>
      <c r="E17" s="2">
        <f>Raw_Inventory_Data!E17</f>
        <v>300.07</v>
      </c>
      <c r="F17">
        <f>Raw_Inventory_Data!F17</f>
        <v>95</v>
      </c>
      <c r="G17" s="4">
        <f>Raw_Inventory_Data!G17</f>
        <v>17.8</v>
      </c>
      <c r="H17">
        <f>Raw_Inventory_Data!H17</f>
        <v>10</v>
      </c>
      <c r="I17">
        <f>Raw_Inventory_Data!I17</f>
        <v>1.4</v>
      </c>
      <c r="J17">
        <f>Raw_Inventory_Data!J17</f>
        <v>20</v>
      </c>
      <c r="K17">
        <f>Raw_Inventory_Data!K17</f>
        <v>10</v>
      </c>
      <c r="L17" s="2">
        <f t="shared" si="0"/>
        <v>28506.649999999998</v>
      </c>
      <c r="M17" s="4">
        <f t="shared" si="1"/>
        <v>5.8988764044943816</v>
      </c>
      <c r="N17" s="4">
        <f t="shared" si="2"/>
        <v>29.785096944613088</v>
      </c>
      <c r="O17" s="4">
        <f t="shared" si="3"/>
        <v>55.213668373184518</v>
      </c>
      <c r="P17" s="4">
        <f t="shared" si="4"/>
        <v>79.571428571428569</v>
      </c>
      <c r="Q17" t="str">
        <f t="shared" si="5"/>
        <v>Monitor</v>
      </c>
      <c r="R17" t="str">
        <f t="shared" si="6"/>
        <v>OK</v>
      </c>
    </row>
    <row r="18" spans="1:18">
      <c r="A18" t="str">
        <f>Raw_Inventory_Data!A18</f>
        <v>TAB-MAN-116</v>
      </c>
      <c r="B18" t="str">
        <f>Raw_Inventory_Data!B18</f>
        <v>Tablets</v>
      </c>
      <c r="C18" t="str">
        <f>Raw_Inventory_Data!C18</f>
        <v>DigitalSource Ltd</v>
      </c>
      <c r="D18" t="str">
        <f>Raw_Inventory_Data!D18</f>
        <v>Manchester Hub</v>
      </c>
      <c r="E18" s="2">
        <f>Raw_Inventory_Data!E18</f>
        <v>298.82</v>
      </c>
      <c r="F18">
        <f>Raw_Inventory_Data!F18</f>
        <v>65</v>
      </c>
      <c r="G18" s="4">
        <f>Raw_Inventory_Data!G18</f>
        <v>18.399999999999999</v>
      </c>
      <c r="H18">
        <f>Raw_Inventory_Data!H18</f>
        <v>10</v>
      </c>
      <c r="I18">
        <f>Raw_Inventory_Data!I18</f>
        <v>1.1499999999999999</v>
      </c>
      <c r="J18">
        <f>Raw_Inventory_Data!J18</f>
        <v>60</v>
      </c>
      <c r="K18">
        <f>Raw_Inventory_Data!K18</f>
        <v>20</v>
      </c>
      <c r="L18" s="2">
        <f t="shared" si="0"/>
        <v>19423.3</v>
      </c>
      <c r="M18" s="4">
        <f t="shared" si="1"/>
        <v>4.6195652173913047</v>
      </c>
      <c r="N18" s="4">
        <f t="shared" si="2"/>
        <v>25.291037373515763</v>
      </c>
      <c r="O18" s="4">
        <f t="shared" si="3"/>
        <v>51.576751659230048</v>
      </c>
      <c r="P18" s="4">
        <f t="shared" si="4"/>
        <v>58.714285714285715</v>
      </c>
      <c r="Q18" t="str">
        <f t="shared" si="5"/>
        <v>Monitor</v>
      </c>
      <c r="R18" t="str">
        <f t="shared" si="6"/>
        <v>OK</v>
      </c>
    </row>
    <row r="19" spans="1:18">
      <c r="A19" t="str">
        <f>Raw_Inventory_Data!A19</f>
        <v>TAB-MAN-117</v>
      </c>
      <c r="B19" t="str">
        <f>Raw_Inventory_Data!B19</f>
        <v>Tablets</v>
      </c>
      <c r="C19" t="str">
        <f>Raw_Inventory_Data!C19</f>
        <v>DigitalSource Ltd</v>
      </c>
      <c r="D19" t="str">
        <f>Raw_Inventory_Data!D19</f>
        <v>Manchester Hub</v>
      </c>
      <c r="E19" s="2">
        <f>Raw_Inventory_Data!E19</f>
        <v>278.19</v>
      </c>
      <c r="F19">
        <f>Raw_Inventory_Data!F19</f>
        <v>88</v>
      </c>
      <c r="G19" s="4">
        <f>Raw_Inventory_Data!G19</f>
        <v>20.100000000000001</v>
      </c>
      <c r="H19">
        <f>Raw_Inventory_Data!H19</f>
        <v>10</v>
      </c>
      <c r="I19">
        <f>Raw_Inventory_Data!I19</f>
        <v>1.55</v>
      </c>
      <c r="J19">
        <f>Raw_Inventory_Data!J19</f>
        <v>60</v>
      </c>
      <c r="K19">
        <f>Raw_Inventory_Data!K19</f>
        <v>30</v>
      </c>
      <c r="L19" s="2">
        <f t="shared" si="0"/>
        <v>24480.720000000001</v>
      </c>
      <c r="M19" s="4">
        <f t="shared" si="1"/>
        <v>5.8706467661691537</v>
      </c>
      <c r="N19" s="4">
        <f t="shared" si="2"/>
        <v>37.237347323813033</v>
      </c>
      <c r="O19" s="4">
        <f t="shared" si="3"/>
        <v>65.951633038098748</v>
      </c>
      <c r="P19" s="4">
        <f t="shared" si="4"/>
        <v>89.285714285714278</v>
      </c>
      <c r="Q19" t="str">
        <f t="shared" si="5"/>
        <v>Monitor</v>
      </c>
      <c r="R19" t="str">
        <f t="shared" si="6"/>
        <v>OK</v>
      </c>
    </row>
    <row r="20" spans="1:18">
      <c r="A20" t="str">
        <f>Raw_Inventory_Data!A20</f>
        <v>TAB-MAN-118</v>
      </c>
      <c r="B20" t="str">
        <f>Raw_Inventory_Data!B20</f>
        <v>Tablets</v>
      </c>
      <c r="C20" t="str">
        <f>Raw_Inventory_Data!C20</f>
        <v>DigitalSource Ltd</v>
      </c>
      <c r="D20" t="str">
        <f>Raw_Inventory_Data!D20</f>
        <v>Manchester Hub</v>
      </c>
      <c r="E20" s="2">
        <f>Raw_Inventory_Data!E20</f>
        <v>300.91000000000003</v>
      </c>
      <c r="F20">
        <f>Raw_Inventory_Data!F20</f>
        <v>133</v>
      </c>
      <c r="G20" s="4">
        <f>Raw_Inventory_Data!G20</f>
        <v>19.8</v>
      </c>
      <c r="H20">
        <f>Raw_Inventory_Data!H20</f>
        <v>7</v>
      </c>
      <c r="I20">
        <f>Raw_Inventory_Data!I20</f>
        <v>1.55</v>
      </c>
      <c r="J20">
        <f>Raw_Inventory_Data!J20</f>
        <v>50</v>
      </c>
      <c r="K20">
        <f>Raw_Inventory_Data!K20</f>
        <v>10</v>
      </c>
      <c r="L20" s="2">
        <f t="shared" si="0"/>
        <v>40021.030000000006</v>
      </c>
      <c r="M20" s="4">
        <f t="shared" si="1"/>
        <v>7.2222222222222223</v>
      </c>
      <c r="N20" s="4">
        <f t="shared" si="2"/>
        <v>30.69</v>
      </c>
      <c r="O20" s="4">
        <f t="shared" si="3"/>
        <v>50.49</v>
      </c>
      <c r="P20" s="4">
        <f t="shared" si="4"/>
        <v>123.2</v>
      </c>
      <c r="Q20" t="str">
        <f t="shared" si="5"/>
        <v>Monitor</v>
      </c>
      <c r="R20" t="str">
        <f t="shared" si="6"/>
        <v>OK</v>
      </c>
    </row>
    <row r="21" spans="1:18">
      <c r="A21" t="str">
        <f>Raw_Inventory_Data!A21</f>
        <v>TAB-MAN-119</v>
      </c>
      <c r="B21" t="str">
        <f>Raw_Inventory_Data!B21</f>
        <v>Tablets</v>
      </c>
      <c r="C21" t="str">
        <f>Raw_Inventory_Data!C21</f>
        <v>DigitalSource Ltd</v>
      </c>
      <c r="D21" t="str">
        <f>Raw_Inventory_Data!D21</f>
        <v>Manchester Hub</v>
      </c>
      <c r="E21" s="2">
        <f>Raw_Inventory_Data!E21</f>
        <v>276.18</v>
      </c>
      <c r="F21">
        <f>Raw_Inventory_Data!F21</f>
        <v>62</v>
      </c>
      <c r="G21" s="4">
        <f>Raw_Inventory_Data!G21</f>
        <v>19.7</v>
      </c>
      <c r="H21">
        <f>Raw_Inventory_Data!H21</f>
        <v>14</v>
      </c>
      <c r="I21">
        <f>Raw_Inventory_Data!I21</f>
        <v>1.28</v>
      </c>
      <c r="J21">
        <f>Raw_Inventory_Data!J21</f>
        <v>40</v>
      </c>
      <c r="K21">
        <f>Raw_Inventory_Data!K21</f>
        <v>20</v>
      </c>
      <c r="L21" s="2">
        <f t="shared" si="0"/>
        <v>17123.16</v>
      </c>
      <c r="M21" s="4">
        <f t="shared" si="1"/>
        <v>4.1624365482233507</v>
      </c>
      <c r="N21" s="4">
        <f t="shared" si="2"/>
        <v>35.660809188799966</v>
      </c>
      <c r="O21" s="4">
        <f t="shared" si="3"/>
        <v>75.060809188799965</v>
      </c>
      <c r="P21" s="4">
        <f t="shared" si="4"/>
        <v>42.6</v>
      </c>
      <c r="Q21" t="str">
        <f t="shared" si="5"/>
        <v>Monitor</v>
      </c>
      <c r="R21" t="str">
        <f t="shared" si="6"/>
        <v>OK</v>
      </c>
    </row>
    <row r="22" spans="1:18">
      <c r="A22" t="str">
        <f>Raw_Inventory_Data!A22</f>
        <v>TAB-LON-120</v>
      </c>
      <c r="B22" t="str">
        <f>Raw_Inventory_Data!B22</f>
        <v>Tablets</v>
      </c>
      <c r="C22" t="str">
        <f>Raw_Inventory_Data!C22</f>
        <v>DigitalSource Ltd</v>
      </c>
      <c r="D22" t="str">
        <f>Raw_Inventory_Data!D22</f>
        <v>London Central</v>
      </c>
      <c r="E22" s="2">
        <f>Raw_Inventory_Data!E22</f>
        <v>277.94</v>
      </c>
      <c r="F22">
        <f>Raw_Inventory_Data!F22</f>
        <v>110</v>
      </c>
      <c r="G22" s="4">
        <f>Raw_Inventory_Data!G22</f>
        <v>17</v>
      </c>
      <c r="H22">
        <f>Raw_Inventory_Data!H22</f>
        <v>14</v>
      </c>
      <c r="I22">
        <f>Raw_Inventory_Data!I22</f>
        <v>1.4</v>
      </c>
      <c r="J22">
        <f>Raw_Inventory_Data!J22</f>
        <v>20</v>
      </c>
      <c r="K22">
        <f>Raw_Inventory_Data!K22</f>
        <v>0</v>
      </c>
      <c r="L22" s="2">
        <f t="shared" si="0"/>
        <v>30573.4</v>
      </c>
      <c r="M22" s="4">
        <f t="shared" si="1"/>
        <v>6.4705882352941178</v>
      </c>
      <c r="N22" s="4">
        <f t="shared" si="2"/>
        <v>33.65828278447966</v>
      </c>
      <c r="O22" s="4">
        <f t="shared" si="3"/>
        <v>67.658282784479667</v>
      </c>
      <c r="P22" s="4">
        <f t="shared" si="4"/>
        <v>76</v>
      </c>
      <c r="Q22" t="str">
        <f t="shared" si="5"/>
        <v>Monitor</v>
      </c>
      <c r="R22" t="str">
        <f t="shared" si="6"/>
        <v>OK</v>
      </c>
    </row>
    <row r="23" spans="1:18">
      <c r="A23" t="str">
        <f>Raw_Inventory_Data!A23</f>
        <v>TAB-LON-121</v>
      </c>
      <c r="B23" t="str">
        <f>Raw_Inventory_Data!B23</f>
        <v>Tablets</v>
      </c>
      <c r="C23" t="str">
        <f>Raw_Inventory_Data!C23</f>
        <v>DigitalSource Ltd</v>
      </c>
      <c r="D23" t="str">
        <f>Raw_Inventory_Data!D23</f>
        <v>London Central</v>
      </c>
      <c r="E23" s="2">
        <f>Raw_Inventory_Data!E23</f>
        <v>298.98</v>
      </c>
      <c r="F23">
        <f>Raw_Inventory_Data!F23</f>
        <v>77</v>
      </c>
      <c r="G23" s="4">
        <f>Raw_Inventory_Data!G23</f>
        <v>20.100000000000001</v>
      </c>
      <c r="H23">
        <f>Raw_Inventory_Data!H23</f>
        <v>18</v>
      </c>
      <c r="I23">
        <f>Raw_Inventory_Data!I23</f>
        <v>1.4</v>
      </c>
      <c r="J23">
        <f>Raw_Inventory_Data!J23</f>
        <v>60</v>
      </c>
      <c r="K23">
        <f>Raw_Inventory_Data!K23</f>
        <v>0</v>
      </c>
      <c r="L23" s="2">
        <f t="shared" si="0"/>
        <v>23021.460000000003</v>
      </c>
      <c r="M23" s="4">
        <f t="shared" si="1"/>
        <v>3.8308457711442783</v>
      </c>
      <c r="N23" s="4">
        <f t="shared" si="2"/>
        <v>45.124388084493738</v>
      </c>
      <c r="O23" s="4">
        <f t="shared" si="3"/>
        <v>96.810102370208028</v>
      </c>
      <c r="P23" s="4">
        <f t="shared" si="4"/>
        <v>25.31428571428571</v>
      </c>
      <c r="Q23" t="str">
        <f t="shared" si="5"/>
        <v>Reorder</v>
      </c>
      <c r="R23" t="str">
        <f t="shared" si="6"/>
        <v>OK</v>
      </c>
    </row>
    <row r="24" spans="1:18">
      <c r="A24" t="str">
        <f>Raw_Inventory_Data!A24</f>
        <v>TAB-LON-122</v>
      </c>
      <c r="B24" t="str">
        <f>Raw_Inventory_Data!B24</f>
        <v>Tablets</v>
      </c>
      <c r="C24" t="str">
        <f>Raw_Inventory_Data!C24</f>
        <v>DigitalSource Ltd</v>
      </c>
      <c r="D24" t="str">
        <f>Raw_Inventory_Data!D24</f>
        <v>London Central</v>
      </c>
      <c r="E24" s="2">
        <f>Raw_Inventory_Data!E24</f>
        <v>273.95</v>
      </c>
      <c r="F24">
        <f>Raw_Inventory_Data!F24</f>
        <v>93</v>
      </c>
      <c r="G24" s="4">
        <f>Raw_Inventory_Data!G24</f>
        <v>19.7</v>
      </c>
      <c r="H24">
        <f>Raw_Inventory_Data!H24</f>
        <v>7</v>
      </c>
      <c r="I24">
        <f>Raw_Inventory_Data!I24</f>
        <v>1.1499999999999999</v>
      </c>
      <c r="J24">
        <f>Raw_Inventory_Data!J24</f>
        <v>30</v>
      </c>
      <c r="K24">
        <f>Raw_Inventory_Data!K24</f>
        <v>10</v>
      </c>
      <c r="L24" s="2">
        <f t="shared" si="0"/>
        <v>25477.35</v>
      </c>
      <c r="M24" s="4">
        <f t="shared" si="1"/>
        <v>5.2284263959390866</v>
      </c>
      <c r="N24" s="4">
        <f t="shared" si="2"/>
        <v>22.654999999999998</v>
      </c>
      <c r="O24" s="4">
        <f t="shared" si="3"/>
        <v>42.354999999999997</v>
      </c>
      <c r="P24" s="4">
        <f t="shared" si="4"/>
        <v>83.3</v>
      </c>
      <c r="Q24" t="str">
        <f t="shared" si="5"/>
        <v>Monitor</v>
      </c>
      <c r="R24" t="str">
        <f t="shared" si="6"/>
        <v>OK</v>
      </c>
    </row>
    <row r="25" spans="1:18">
      <c r="A25" t="str">
        <f>Raw_Inventory_Data!A25</f>
        <v>TAB-LON-123</v>
      </c>
      <c r="B25" t="str">
        <f>Raw_Inventory_Data!B25</f>
        <v>Tablets</v>
      </c>
      <c r="C25" t="str">
        <f>Raw_Inventory_Data!C25</f>
        <v>DigitalSource Ltd</v>
      </c>
      <c r="D25" t="str">
        <f>Raw_Inventory_Data!D25</f>
        <v>London Central</v>
      </c>
      <c r="E25" s="2">
        <f>Raw_Inventory_Data!E25</f>
        <v>293.68</v>
      </c>
      <c r="F25">
        <f>Raw_Inventory_Data!F25</f>
        <v>64</v>
      </c>
      <c r="G25" s="4">
        <f>Raw_Inventory_Data!G25</f>
        <v>17.5</v>
      </c>
      <c r="H25">
        <f>Raw_Inventory_Data!H25</f>
        <v>10</v>
      </c>
      <c r="I25">
        <f>Raw_Inventory_Data!I25</f>
        <v>1.28</v>
      </c>
      <c r="J25">
        <f>Raw_Inventory_Data!J25</f>
        <v>50</v>
      </c>
      <c r="K25">
        <f>Raw_Inventory_Data!K25</f>
        <v>40</v>
      </c>
      <c r="L25" s="2">
        <f t="shared" si="0"/>
        <v>18795.52</v>
      </c>
      <c r="M25" s="4">
        <f t="shared" si="1"/>
        <v>5.9428571428571431</v>
      </c>
      <c r="N25" s="4">
        <f t="shared" si="2"/>
        <v>26.773120849090414</v>
      </c>
      <c r="O25" s="4">
        <f t="shared" si="3"/>
        <v>51.773120849090418</v>
      </c>
      <c r="P25" s="4">
        <f t="shared" si="4"/>
        <v>79</v>
      </c>
      <c r="Q25" t="str">
        <f t="shared" si="5"/>
        <v>Monitor</v>
      </c>
      <c r="R25" t="str">
        <f t="shared" si="6"/>
        <v>OK</v>
      </c>
    </row>
    <row r="26" spans="1:18">
      <c r="A26" t="str">
        <f>Raw_Inventory_Data!A26</f>
        <v>PHO-BIR-124</v>
      </c>
      <c r="B26" t="str">
        <f>Raw_Inventory_Data!B26</f>
        <v>Phones</v>
      </c>
      <c r="C26" t="str">
        <f>Raw_Inventory_Data!C26</f>
        <v>MobileWorks Plc</v>
      </c>
      <c r="D26" t="str">
        <f>Raw_Inventory_Data!D26</f>
        <v>Birmingham DC</v>
      </c>
      <c r="E26" s="2">
        <f>Raw_Inventory_Data!E26</f>
        <v>369.81</v>
      </c>
      <c r="F26">
        <f>Raw_Inventory_Data!F26</f>
        <v>111</v>
      </c>
      <c r="G26" s="4">
        <f>Raw_Inventory_Data!G26</f>
        <v>21.2</v>
      </c>
      <c r="H26">
        <f>Raw_Inventory_Data!H26</f>
        <v>7</v>
      </c>
      <c r="I26">
        <f>Raw_Inventory_Data!I26</f>
        <v>1.4</v>
      </c>
      <c r="J26">
        <f>Raw_Inventory_Data!J26</f>
        <v>50</v>
      </c>
      <c r="K26">
        <f>Raw_Inventory_Data!K26</f>
        <v>10</v>
      </c>
      <c r="L26" s="2">
        <f t="shared" si="0"/>
        <v>41048.910000000003</v>
      </c>
      <c r="M26" s="4">
        <f t="shared" si="1"/>
        <v>5.7075471698113214</v>
      </c>
      <c r="N26" s="4">
        <f t="shared" si="2"/>
        <v>29.679999999999996</v>
      </c>
      <c r="O26" s="4">
        <f t="shared" si="3"/>
        <v>50.879999999999995</v>
      </c>
      <c r="P26" s="4">
        <f t="shared" si="4"/>
        <v>99.8</v>
      </c>
      <c r="Q26" t="str">
        <f t="shared" si="5"/>
        <v>Monitor</v>
      </c>
      <c r="R26" t="str">
        <f t="shared" si="6"/>
        <v>OK</v>
      </c>
    </row>
    <row r="27" spans="1:18">
      <c r="A27" t="str">
        <f>Raw_Inventory_Data!A27</f>
        <v>PHO-BIR-125</v>
      </c>
      <c r="B27" t="str">
        <f>Raw_Inventory_Data!B27</f>
        <v>Phones</v>
      </c>
      <c r="C27" t="str">
        <f>Raw_Inventory_Data!C27</f>
        <v>MobileWorks Plc</v>
      </c>
      <c r="D27" t="str">
        <f>Raw_Inventory_Data!D27</f>
        <v>Birmingham DC</v>
      </c>
      <c r="E27" s="2">
        <f>Raw_Inventory_Data!E27</f>
        <v>385.32</v>
      </c>
      <c r="F27">
        <f>Raw_Inventory_Data!F27</f>
        <v>74</v>
      </c>
      <c r="G27" s="4">
        <f>Raw_Inventory_Data!G27</f>
        <v>18.600000000000001</v>
      </c>
      <c r="H27">
        <f>Raw_Inventory_Data!H27</f>
        <v>18</v>
      </c>
      <c r="I27">
        <f>Raw_Inventory_Data!I27</f>
        <v>1.55</v>
      </c>
      <c r="J27">
        <f>Raw_Inventory_Data!J27</f>
        <v>60</v>
      </c>
      <c r="K27">
        <f>Raw_Inventory_Data!K27</f>
        <v>0</v>
      </c>
      <c r="L27" s="2">
        <f t="shared" si="0"/>
        <v>28513.68</v>
      </c>
      <c r="M27" s="4">
        <f t="shared" si="1"/>
        <v>3.9784946236559136</v>
      </c>
      <c r="N27" s="4">
        <f t="shared" si="2"/>
        <v>46.230849626011178</v>
      </c>
      <c r="O27" s="4">
        <f t="shared" si="3"/>
        <v>94.059421054582614</v>
      </c>
      <c r="P27" s="4">
        <f t="shared" si="4"/>
        <v>26.171428571428564</v>
      </c>
      <c r="Q27" t="str">
        <f t="shared" si="5"/>
        <v>Reorder</v>
      </c>
      <c r="R27" t="str">
        <f t="shared" si="6"/>
        <v>OK</v>
      </c>
    </row>
    <row r="28" spans="1:18">
      <c r="A28" t="str">
        <f>Raw_Inventory_Data!A28</f>
        <v>PHO-BIR-126</v>
      </c>
      <c r="B28" t="str">
        <f>Raw_Inventory_Data!B28</f>
        <v>Phones</v>
      </c>
      <c r="C28" t="str">
        <f>Raw_Inventory_Data!C28</f>
        <v>MobileWorks Plc</v>
      </c>
      <c r="D28" t="str">
        <f>Raw_Inventory_Data!D28</f>
        <v>Birmingham DC</v>
      </c>
      <c r="E28" s="2">
        <f>Raw_Inventory_Data!E28</f>
        <v>378.63</v>
      </c>
      <c r="F28">
        <f>Raw_Inventory_Data!F28</f>
        <v>126</v>
      </c>
      <c r="G28" s="4">
        <f>Raw_Inventory_Data!G28</f>
        <v>18.5</v>
      </c>
      <c r="H28">
        <f>Raw_Inventory_Data!H28</f>
        <v>28</v>
      </c>
      <c r="I28">
        <f>Raw_Inventory_Data!I28</f>
        <v>1.28</v>
      </c>
      <c r="J28">
        <f>Raw_Inventory_Data!J28</f>
        <v>20</v>
      </c>
      <c r="K28">
        <f>Raw_Inventory_Data!K28</f>
        <v>20</v>
      </c>
      <c r="L28" s="2">
        <f t="shared" si="0"/>
        <v>47707.38</v>
      </c>
      <c r="M28" s="4">
        <f t="shared" si="1"/>
        <v>7.8918918918918921</v>
      </c>
      <c r="N28" s="4">
        <f t="shared" si="2"/>
        <v>47.36</v>
      </c>
      <c r="O28" s="4">
        <f t="shared" si="3"/>
        <v>121.36</v>
      </c>
      <c r="P28" s="4">
        <f t="shared" si="4"/>
        <v>72</v>
      </c>
      <c r="Q28" t="str">
        <f t="shared" si="5"/>
        <v>Monitor</v>
      </c>
      <c r="R28" t="str">
        <f t="shared" si="6"/>
        <v>OK</v>
      </c>
    </row>
    <row r="29" spans="1:18">
      <c r="A29" t="str">
        <f>Raw_Inventory_Data!A29</f>
        <v>PHO-BIR-127</v>
      </c>
      <c r="B29" t="str">
        <f>Raw_Inventory_Data!B29</f>
        <v>Phones</v>
      </c>
      <c r="C29" t="str">
        <f>Raw_Inventory_Data!C29</f>
        <v>MobileWorks Plc</v>
      </c>
      <c r="D29" t="str">
        <f>Raw_Inventory_Data!D29</f>
        <v>Birmingham DC</v>
      </c>
      <c r="E29" s="2">
        <f>Raw_Inventory_Data!E29</f>
        <v>387.83</v>
      </c>
      <c r="F29">
        <f>Raw_Inventory_Data!F29</f>
        <v>137</v>
      </c>
      <c r="G29" s="4">
        <f>Raw_Inventory_Data!G29</f>
        <v>21.8</v>
      </c>
      <c r="H29">
        <f>Raw_Inventory_Data!H29</f>
        <v>7</v>
      </c>
      <c r="I29">
        <f>Raw_Inventory_Data!I29</f>
        <v>1.4</v>
      </c>
      <c r="J29">
        <f>Raw_Inventory_Data!J29</f>
        <v>25</v>
      </c>
      <c r="K29">
        <f>Raw_Inventory_Data!K29</f>
        <v>20</v>
      </c>
      <c r="L29" s="2">
        <f t="shared" si="0"/>
        <v>53132.71</v>
      </c>
      <c r="M29" s="4">
        <f t="shared" si="1"/>
        <v>7.2018348623853212</v>
      </c>
      <c r="N29" s="4">
        <f t="shared" si="2"/>
        <v>30.52</v>
      </c>
      <c r="O29" s="4">
        <f t="shared" si="3"/>
        <v>52.32</v>
      </c>
      <c r="P29" s="4">
        <f t="shared" si="4"/>
        <v>135.19999999999999</v>
      </c>
      <c r="Q29" t="str">
        <f t="shared" si="5"/>
        <v>Monitor</v>
      </c>
      <c r="R29" t="str">
        <f t="shared" si="6"/>
        <v>OK</v>
      </c>
    </row>
    <row r="30" spans="1:18">
      <c r="A30" t="str">
        <f>Raw_Inventory_Data!A30</f>
        <v>PHO-MAN-128</v>
      </c>
      <c r="B30" t="str">
        <f>Raw_Inventory_Data!B30</f>
        <v>Phones</v>
      </c>
      <c r="C30" t="str">
        <f>Raw_Inventory_Data!C30</f>
        <v>MobileWorks Plc</v>
      </c>
      <c r="D30" t="str">
        <f>Raw_Inventory_Data!D30</f>
        <v>Manchester Hub</v>
      </c>
      <c r="E30" s="2">
        <f>Raw_Inventory_Data!E30</f>
        <v>349</v>
      </c>
      <c r="F30">
        <f>Raw_Inventory_Data!F30</f>
        <v>150</v>
      </c>
      <c r="G30" s="4">
        <f>Raw_Inventory_Data!G30</f>
        <v>21.8</v>
      </c>
      <c r="H30">
        <f>Raw_Inventory_Data!H30</f>
        <v>18</v>
      </c>
      <c r="I30">
        <f>Raw_Inventory_Data!I30</f>
        <v>1.28</v>
      </c>
      <c r="J30">
        <f>Raw_Inventory_Data!J30</f>
        <v>50</v>
      </c>
      <c r="K30">
        <f>Raw_Inventory_Data!K30</f>
        <v>30</v>
      </c>
      <c r="L30" s="2">
        <f t="shared" si="0"/>
        <v>52350</v>
      </c>
      <c r="M30" s="4">
        <f t="shared" si="1"/>
        <v>8.2568807339449535</v>
      </c>
      <c r="N30" s="4">
        <f t="shared" si="2"/>
        <v>44.745946165945746</v>
      </c>
      <c r="O30" s="4">
        <f t="shared" si="3"/>
        <v>100.8030890230886</v>
      </c>
      <c r="P30" s="4">
        <f t="shared" si="4"/>
        <v>123.94285714285714</v>
      </c>
      <c r="Q30" t="str">
        <f t="shared" si="5"/>
        <v>Monitor</v>
      </c>
      <c r="R30" t="str">
        <f t="shared" si="6"/>
        <v>OK</v>
      </c>
    </row>
    <row r="31" spans="1:18">
      <c r="A31" t="str">
        <f>Raw_Inventory_Data!A31</f>
        <v>PHO-MAN-129</v>
      </c>
      <c r="B31" t="str">
        <f>Raw_Inventory_Data!B31</f>
        <v>Phones</v>
      </c>
      <c r="C31" t="str">
        <f>Raw_Inventory_Data!C31</f>
        <v>MobileWorks Plc</v>
      </c>
      <c r="D31" t="str">
        <f>Raw_Inventory_Data!D31</f>
        <v>Manchester Hub</v>
      </c>
      <c r="E31" s="2">
        <f>Raw_Inventory_Data!E31</f>
        <v>332.53</v>
      </c>
      <c r="F31">
        <f>Raw_Inventory_Data!F31</f>
        <v>140</v>
      </c>
      <c r="G31" s="4">
        <f>Raw_Inventory_Data!G31</f>
        <v>21.8</v>
      </c>
      <c r="H31">
        <f>Raw_Inventory_Data!H31</f>
        <v>18</v>
      </c>
      <c r="I31">
        <f>Raw_Inventory_Data!I31</f>
        <v>1.4</v>
      </c>
      <c r="J31">
        <f>Raw_Inventory_Data!J31</f>
        <v>40</v>
      </c>
      <c r="K31">
        <f>Raw_Inventory_Data!K31</f>
        <v>40</v>
      </c>
      <c r="L31" s="2">
        <f t="shared" si="0"/>
        <v>46554.2</v>
      </c>
      <c r="M31" s="4">
        <f t="shared" si="1"/>
        <v>8.2568807339449535</v>
      </c>
      <c r="N31" s="4">
        <f t="shared" si="2"/>
        <v>48.940878619003151</v>
      </c>
      <c r="O31" s="4">
        <f t="shared" si="3"/>
        <v>104.99802147614602</v>
      </c>
      <c r="P31" s="4">
        <f t="shared" si="4"/>
        <v>123.94285714285714</v>
      </c>
      <c r="Q31" t="str">
        <f t="shared" si="5"/>
        <v>Monitor</v>
      </c>
      <c r="R31" t="str">
        <f t="shared" si="6"/>
        <v>OK</v>
      </c>
    </row>
    <row r="32" spans="1:18">
      <c r="A32" t="str">
        <f>Raw_Inventory_Data!A32</f>
        <v>PHO-MAN-130</v>
      </c>
      <c r="B32" t="str">
        <f>Raw_Inventory_Data!B32</f>
        <v>Phones</v>
      </c>
      <c r="C32" t="str">
        <f>Raw_Inventory_Data!C32</f>
        <v>MobileWorks Plc</v>
      </c>
      <c r="D32" t="str">
        <f>Raw_Inventory_Data!D32</f>
        <v>Manchester Hub</v>
      </c>
      <c r="E32" s="2">
        <f>Raw_Inventory_Data!E32</f>
        <v>344.74</v>
      </c>
      <c r="F32">
        <f>Raw_Inventory_Data!F32</f>
        <v>166</v>
      </c>
      <c r="G32" s="4">
        <f>Raw_Inventory_Data!G32</f>
        <v>23</v>
      </c>
      <c r="H32">
        <f>Raw_Inventory_Data!H32</f>
        <v>18</v>
      </c>
      <c r="I32">
        <f>Raw_Inventory_Data!I32</f>
        <v>1.4</v>
      </c>
      <c r="J32">
        <f>Raw_Inventory_Data!J32</f>
        <v>20</v>
      </c>
      <c r="K32">
        <f>Raw_Inventory_Data!K32</f>
        <v>20</v>
      </c>
      <c r="L32" s="2">
        <f t="shared" si="0"/>
        <v>57226.840000000004</v>
      </c>
      <c r="M32" s="4">
        <f t="shared" si="1"/>
        <v>8.0869565217391308</v>
      </c>
      <c r="N32" s="4">
        <f t="shared" si="2"/>
        <v>51.634871937480391</v>
      </c>
      <c r="O32" s="4">
        <f t="shared" si="3"/>
        <v>110.77772908033754</v>
      </c>
      <c r="P32" s="4">
        <f t="shared" si="4"/>
        <v>126.85714285714286</v>
      </c>
      <c r="Q32" t="str">
        <f t="shared" si="5"/>
        <v>Monitor</v>
      </c>
      <c r="R32" t="str">
        <f t="shared" si="6"/>
        <v>OK</v>
      </c>
    </row>
    <row r="33" spans="1:18">
      <c r="A33" t="str">
        <f>Raw_Inventory_Data!A33</f>
        <v>PHO-MAN-131</v>
      </c>
      <c r="B33" t="str">
        <f>Raw_Inventory_Data!B33</f>
        <v>Phones</v>
      </c>
      <c r="C33" t="str">
        <f>Raw_Inventory_Data!C33</f>
        <v>MobileWorks Plc</v>
      </c>
      <c r="D33" t="str">
        <f>Raw_Inventory_Data!D33</f>
        <v>Manchester Hub</v>
      </c>
      <c r="E33" s="2">
        <f>Raw_Inventory_Data!E33</f>
        <v>353.61</v>
      </c>
      <c r="F33">
        <f>Raw_Inventory_Data!F33</f>
        <v>136</v>
      </c>
      <c r="G33" s="4">
        <f>Raw_Inventory_Data!G33</f>
        <v>19.5</v>
      </c>
      <c r="H33">
        <f>Raw_Inventory_Data!H33</f>
        <v>7</v>
      </c>
      <c r="I33">
        <f>Raw_Inventory_Data!I33</f>
        <v>1.55</v>
      </c>
      <c r="J33">
        <f>Raw_Inventory_Data!J33</f>
        <v>20</v>
      </c>
      <c r="K33">
        <f>Raw_Inventory_Data!K33</f>
        <v>20</v>
      </c>
      <c r="L33" s="2">
        <f t="shared" si="0"/>
        <v>48090.96</v>
      </c>
      <c r="M33" s="4">
        <f t="shared" si="1"/>
        <v>8</v>
      </c>
      <c r="N33" s="4">
        <f t="shared" si="2"/>
        <v>30.225000000000001</v>
      </c>
      <c r="O33" s="4">
        <f t="shared" si="3"/>
        <v>49.725000000000001</v>
      </c>
      <c r="P33" s="4">
        <f t="shared" si="4"/>
        <v>136.5</v>
      </c>
      <c r="Q33" t="str">
        <f t="shared" si="5"/>
        <v>Monitor</v>
      </c>
      <c r="R33" t="str">
        <f t="shared" si="6"/>
        <v>OK</v>
      </c>
    </row>
    <row r="34" spans="1:18">
      <c r="A34" t="str">
        <f>Raw_Inventory_Data!A34</f>
        <v>PHO-LON-132</v>
      </c>
      <c r="B34" t="str">
        <f>Raw_Inventory_Data!B34</f>
        <v>Phones</v>
      </c>
      <c r="C34" t="str">
        <f>Raw_Inventory_Data!C34</f>
        <v>MobileWorks Plc</v>
      </c>
      <c r="D34" t="str">
        <f>Raw_Inventory_Data!D34</f>
        <v>London Central</v>
      </c>
      <c r="E34" s="2">
        <f>Raw_Inventory_Data!E34</f>
        <v>339.03</v>
      </c>
      <c r="F34">
        <f>Raw_Inventory_Data!F34</f>
        <v>93</v>
      </c>
      <c r="G34" s="4">
        <f>Raw_Inventory_Data!G34</f>
        <v>22.8</v>
      </c>
      <c r="H34">
        <f>Raw_Inventory_Data!H34</f>
        <v>28</v>
      </c>
      <c r="I34">
        <f>Raw_Inventory_Data!I34</f>
        <v>1.4</v>
      </c>
      <c r="J34">
        <f>Raw_Inventory_Data!J34</f>
        <v>40</v>
      </c>
      <c r="K34">
        <f>Raw_Inventory_Data!K34</f>
        <v>10</v>
      </c>
      <c r="L34" s="2">
        <f t="shared" ref="L34:L65" si="7">E34*F34</f>
        <v>31529.789999999997</v>
      </c>
      <c r="M34" s="4">
        <f t="shared" ref="M34:M65" si="8">IFERROR((F34+K34)/G34,0)</f>
        <v>4.5175438596491224</v>
      </c>
      <c r="N34" s="4">
        <f t="shared" ref="N34:N65" si="9">G34*SQRT(H34/7)*I34</f>
        <v>63.839999999999996</v>
      </c>
      <c r="O34" s="4">
        <f t="shared" ref="O34:O65" si="10">(G34*(H34/7))+N34</f>
        <v>155.04</v>
      </c>
      <c r="P34" s="4">
        <f t="shared" ref="P34:P65" si="11">(F34+K34)-(G34*(H34/7))</f>
        <v>11.799999999999997</v>
      </c>
      <c r="Q34" t="str">
        <f t="shared" ref="Q34:Q65" si="12">IF((F34+K34)&lt;=O34,"Reorder","Monitor")</f>
        <v>Reorder</v>
      </c>
      <c r="R34" t="str">
        <f t="shared" ref="R34:R65" si="13">IF(M34&gt;10,"Excess","OK")</f>
        <v>OK</v>
      </c>
    </row>
    <row r="35" spans="1:18">
      <c r="A35" t="str">
        <f>Raw_Inventory_Data!A35</f>
        <v>PHO-LON-133</v>
      </c>
      <c r="B35" t="str">
        <f>Raw_Inventory_Data!B35</f>
        <v>Phones</v>
      </c>
      <c r="C35" t="str">
        <f>Raw_Inventory_Data!C35</f>
        <v>MobileWorks Plc</v>
      </c>
      <c r="D35" t="str">
        <f>Raw_Inventory_Data!D35</f>
        <v>London Central</v>
      </c>
      <c r="E35" s="2">
        <f>Raw_Inventory_Data!E35</f>
        <v>334.42</v>
      </c>
      <c r="F35">
        <f>Raw_Inventory_Data!F35</f>
        <v>131</v>
      </c>
      <c r="G35" s="4">
        <f>Raw_Inventory_Data!G35</f>
        <v>22.2</v>
      </c>
      <c r="H35">
        <f>Raw_Inventory_Data!H35</f>
        <v>14</v>
      </c>
      <c r="I35">
        <f>Raw_Inventory_Data!I35</f>
        <v>1.28</v>
      </c>
      <c r="J35">
        <f>Raw_Inventory_Data!J35</f>
        <v>25</v>
      </c>
      <c r="K35">
        <f>Raw_Inventory_Data!K35</f>
        <v>20</v>
      </c>
      <c r="L35" s="2">
        <f t="shared" si="7"/>
        <v>43809.020000000004</v>
      </c>
      <c r="M35" s="4">
        <f t="shared" si="8"/>
        <v>6.801801801801802</v>
      </c>
      <c r="N35" s="4">
        <f t="shared" si="9"/>
        <v>40.186292588393876</v>
      </c>
      <c r="O35" s="4">
        <f t="shared" si="10"/>
        <v>84.586292588393874</v>
      </c>
      <c r="P35" s="4">
        <f t="shared" si="11"/>
        <v>106.6</v>
      </c>
      <c r="Q35" t="str">
        <f t="shared" si="12"/>
        <v>Monitor</v>
      </c>
      <c r="R35" t="str">
        <f t="shared" si="13"/>
        <v>OK</v>
      </c>
    </row>
    <row r="36" spans="1:18">
      <c r="A36" t="str">
        <f>Raw_Inventory_Data!A36</f>
        <v>PHO-LON-134</v>
      </c>
      <c r="B36" t="str">
        <f>Raw_Inventory_Data!B36</f>
        <v>Phones</v>
      </c>
      <c r="C36" t="str">
        <f>Raw_Inventory_Data!C36</f>
        <v>MobileWorks Plc</v>
      </c>
      <c r="D36" t="str">
        <f>Raw_Inventory_Data!D36</f>
        <v>London Central</v>
      </c>
      <c r="E36" s="2">
        <f>Raw_Inventory_Data!E36</f>
        <v>350.84</v>
      </c>
      <c r="F36">
        <f>Raw_Inventory_Data!F36</f>
        <v>130</v>
      </c>
      <c r="G36" s="4">
        <f>Raw_Inventory_Data!G36</f>
        <v>22.8</v>
      </c>
      <c r="H36">
        <f>Raw_Inventory_Data!H36</f>
        <v>18</v>
      </c>
      <c r="I36">
        <f>Raw_Inventory_Data!I36</f>
        <v>1.4</v>
      </c>
      <c r="J36">
        <f>Raw_Inventory_Data!J36</f>
        <v>30</v>
      </c>
      <c r="K36">
        <f>Raw_Inventory_Data!K36</f>
        <v>40</v>
      </c>
      <c r="L36" s="2">
        <f t="shared" si="7"/>
        <v>45609.2</v>
      </c>
      <c r="M36" s="4">
        <f t="shared" si="8"/>
        <v>7.4561403508771926</v>
      </c>
      <c r="N36" s="4">
        <f t="shared" si="9"/>
        <v>51.185873051067517</v>
      </c>
      <c r="O36" s="4">
        <f t="shared" si="10"/>
        <v>109.81444447963895</v>
      </c>
      <c r="P36" s="4">
        <f t="shared" si="11"/>
        <v>111.37142857142857</v>
      </c>
      <c r="Q36" t="str">
        <f t="shared" si="12"/>
        <v>Monitor</v>
      </c>
      <c r="R36" t="str">
        <f t="shared" si="13"/>
        <v>OK</v>
      </c>
    </row>
    <row r="37" spans="1:18">
      <c r="A37" t="str">
        <f>Raw_Inventory_Data!A37</f>
        <v>PHO-LON-135</v>
      </c>
      <c r="B37" t="str">
        <f>Raw_Inventory_Data!B37</f>
        <v>Phones</v>
      </c>
      <c r="C37" t="str">
        <f>Raw_Inventory_Data!C37</f>
        <v>MobileWorks Plc</v>
      </c>
      <c r="D37" t="str">
        <f>Raw_Inventory_Data!D37</f>
        <v>London Central</v>
      </c>
      <c r="E37" s="2">
        <f>Raw_Inventory_Data!E37</f>
        <v>335.18</v>
      </c>
      <c r="F37">
        <f>Raw_Inventory_Data!F37</f>
        <v>134</v>
      </c>
      <c r="G37" s="4">
        <f>Raw_Inventory_Data!G37</f>
        <v>20.9</v>
      </c>
      <c r="H37">
        <f>Raw_Inventory_Data!H37</f>
        <v>14</v>
      </c>
      <c r="I37">
        <f>Raw_Inventory_Data!I37</f>
        <v>1.28</v>
      </c>
      <c r="J37">
        <f>Raw_Inventory_Data!J37</f>
        <v>20</v>
      </c>
      <c r="K37">
        <f>Raw_Inventory_Data!K37</f>
        <v>0</v>
      </c>
      <c r="L37" s="2">
        <f t="shared" si="7"/>
        <v>44914.12</v>
      </c>
      <c r="M37" s="4">
        <f t="shared" si="8"/>
        <v>6.4114832535885169</v>
      </c>
      <c r="N37" s="4">
        <f t="shared" si="9"/>
        <v>37.83304122060504</v>
      </c>
      <c r="O37" s="4">
        <f t="shared" si="10"/>
        <v>79.633041220605037</v>
      </c>
      <c r="P37" s="4">
        <f t="shared" si="11"/>
        <v>92.2</v>
      </c>
      <c r="Q37" t="str">
        <f t="shared" si="12"/>
        <v>Monitor</v>
      </c>
      <c r="R37" t="str">
        <f t="shared" si="13"/>
        <v>OK</v>
      </c>
    </row>
    <row r="38" spans="1:18">
      <c r="A38" t="str">
        <f>Raw_Inventory_Data!A38</f>
        <v>ACC-BIR-136</v>
      </c>
      <c r="B38" t="str">
        <f>Raw_Inventory_Data!B38</f>
        <v>Accessories</v>
      </c>
      <c r="C38" t="str">
        <f>Raw_Inventory_Data!C38</f>
        <v>OfficePlus Group</v>
      </c>
      <c r="D38" t="str">
        <f>Raw_Inventory_Data!D38</f>
        <v>Birmingham DC</v>
      </c>
      <c r="E38" s="2">
        <f>Raw_Inventory_Data!E38</f>
        <v>43.11</v>
      </c>
      <c r="F38">
        <f>Raw_Inventory_Data!F38</f>
        <v>118</v>
      </c>
      <c r="G38" s="4">
        <f>Raw_Inventory_Data!G38</f>
        <v>34.5</v>
      </c>
      <c r="H38">
        <f>Raw_Inventory_Data!H38</f>
        <v>10</v>
      </c>
      <c r="I38">
        <f>Raw_Inventory_Data!I38</f>
        <v>1.1499999999999999</v>
      </c>
      <c r="J38">
        <f>Raw_Inventory_Data!J38</f>
        <v>50</v>
      </c>
      <c r="K38">
        <f>Raw_Inventory_Data!K38</f>
        <v>30</v>
      </c>
      <c r="L38" s="2">
        <f t="shared" si="7"/>
        <v>5086.9799999999996</v>
      </c>
      <c r="M38" s="4">
        <f t="shared" si="8"/>
        <v>4.2898550724637685</v>
      </c>
      <c r="N38" s="4">
        <f t="shared" si="9"/>
        <v>47.42069507534206</v>
      </c>
      <c r="O38" s="4">
        <f t="shared" si="10"/>
        <v>96.706409361056345</v>
      </c>
      <c r="P38" s="4">
        <f t="shared" si="11"/>
        <v>98.714285714285722</v>
      </c>
      <c r="Q38" t="str">
        <f t="shared" si="12"/>
        <v>Monitor</v>
      </c>
      <c r="R38" t="str">
        <f t="shared" si="13"/>
        <v>OK</v>
      </c>
    </row>
    <row r="39" spans="1:18">
      <c r="A39" t="str">
        <f>Raw_Inventory_Data!A39</f>
        <v>ACC-BIR-137</v>
      </c>
      <c r="B39" t="str">
        <f>Raw_Inventory_Data!B39</f>
        <v>Accessories</v>
      </c>
      <c r="C39" t="str">
        <f>Raw_Inventory_Data!C39</f>
        <v>OfficePlus Group</v>
      </c>
      <c r="D39" t="str">
        <f>Raw_Inventory_Data!D39</f>
        <v>Birmingham DC</v>
      </c>
      <c r="E39" s="2">
        <f>Raw_Inventory_Data!E39</f>
        <v>41.01</v>
      </c>
      <c r="F39">
        <f>Raw_Inventory_Data!F39</f>
        <v>154</v>
      </c>
      <c r="G39" s="4">
        <f>Raw_Inventory_Data!G39</f>
        <v>37</v>
      </c>
      <c r="H39">
        <f>Raw_Inventory_Data!H39</f>
        <v>18</v>
      </c>
      <c r="I39">
        <f>Raw_Inventory_Data!I39</f>
        <v>1.28</v>
      </c>
      <c r="J39">
        <f>Raw_Inventory_Data!J39</f>
        <v>20</v>
      </c>
      <c r="K39">
        <f>Raw_Inventory_Data!K39</f>
        <v>10</v>
      </c>
      <c r="L39" s="2">
        <f t="shared" si="7"/>
        <v>6315.54</v>
      </c>
      <c r="M39" s="4">
        <f t="shared" si="8"/>
        <v>4.4324324324324325</v>
      </c>
      <c r="N39" s="4">
        <f t="shared" si="9"/>
        <v>75.944954501834516</v>
      </c>
      <c r="O39" s="4">
        <f t="shared" si="10"/>
        <v>171.08781164469167</v>
      </c>
      <c r="P39" s="4">
        <f t="shared" si="11"/>
        <v>68.857142857142847</v>
      </c>
      <c r="Q39" t="str">
        <f t="shared" si="12"/>
        <v>Reorder</v>
      </c>
      <c r="R39" t="str">
        <f t="shared" si="13"/>
        <v>OK</v>
      </c>
    </row>
    <row r="40" spans="1:18">
      <c r="A40" t="str">
        <f>Raw_Inventory_Data!A40</f>
        <v>ACC-BIR-138</v>
      </c>
      <c r="B40" t="str">
        <f>Raw_Inventory_Data!B40</f>
        <v>Accessories</v>
      </c>
      <c r="C40" t="str">
        <f>Raw_Inventory_Data!C40</f>
        <v>OfficePlus Group</v>
      </c>
      <c r="D40" t="str">
        <f>Raw_Inventory_Data!D40</f>
        <v>Birmingham DC</v>
      </c>
      <c r="E40" s="2">
        <f>Raw_Inventory_Data!E40</f>
        <v>42.33</v>
      </c>
      <c r="F40">
        <f>Raw_Inventory_Data!F40</f>
        <v>201</v>
      </c>
      <c r="G40" s="4">
        <f>Raw_Inventory_Data!G40</f>
        <v>37.9</v>
      </c>
      <c r="H40">
        <f>Raw_Inventory_Data!H40</f>
        <v>7</v>
      </c>
      <c r="I40">
        <f>Raw_Inventory_Data!I40</f>
        <v>1.28</v>
      </c>
      <c r="J40">
        <f>Raw_Inventory_Data!J40</f>
        <v>50</v>
      </c>
      <c r="K40">
        <f>Raw_Inventory_Data!K40</f>
        <v>30</v>
      </c>
      <c r="L40" s="2">
        <f t="shared" si="7"/>
        <v>8508.33</v>
      </c>
      <c r="M40" s="4">
        <f t="shared" si="8"/>
        <v>6.0949868073878628</v>
      </c>
      <c r="N40" s="4">
        <f t="shared" si="9"/>
        <v>48.512</v>
      </c>
      <c r="O40" s="4">
        <f t="shared" si="10"/>
        <v>86.412000000000006</v>
      </c>
      <c r="P40" s="4">
        <f t="shared" si="11"/>
        <v>193.1</v>
      </c>
      <c r="Q40" t="str">
        <f t="shared" si="12"/>
        <v>Monitor</v>
      </c>
      <c r="R40" t="str">
        <f t="shared" si="13"/>
        <v>OK</v>
      </c>
    </row>
    <row r="41" spans="1:18">
      <c r="A41" t="str">
        <f>Raw_Inventory_Data!A41</f>
        <v>ACC-BIR-139</v>
      </c>
      <c r="B41" t="str">
        <f>Raw_Inventory_Data!B41</f>
        <v>Accessories</v>
      </c>
      <c r="C41" t="str">
        <f>Raw_Inventory_Data!C41</f>
        <v>OfficePlus Group</v>
      </c>
      <c r="D41" t="str">
        <f>Raw_Inventory_Data!D41</f>
        <v>Birmingham DC</v>
      </c>
      <c r="E41" s="2">
        <f>Raw_Inventory_Data!E41</f>
        <v>39.58</v>
      </c>
      <c r="F41">
        <f>Raw_Inventory_Data!F41</f>
        <v>146</v>
      </c>
      <c r="G41" s="4">
        <f>Raw_Inventory_Data!G41</f>
        <v>32.9</v>
      </c>
      <c r="H41">
        <f>Raw_Inventory_Data!H41</f>
        <v>18</v>
      </c>
      <c r="I41">
        <f>Raw_Inventory_Data!I41</f>
        <v>1.55</v>
      </c>
      <c r="J41">
        <f>Raw_Inventory_Data!J41</f>
        <v>50</v>
      </c>
      <c r="K41">
        <f>Raw_Inventory_Data!K41</f>
        <v>30</v>
      </c>
      <c r="L41" s="2">
        <f t="shared" si="7"/>
        <v>5778.6799999999994</v>
      </c>
      <c r="M41" s="4">
        <f t="shared" si="8"/>
        <v>5.3495440729483281</v>
      </c>
      <c r="N41" s="4">
        <f t="shared" si="9"/>
        <v>81.773922187944493</v>
      </c>
      <c r="O41" s="4">
        <f t="shared" si="10"/>
        <v>166.37392218794452</v>
      </c>
      <c r="P41" s="4">
        <f t="shared" si="11"/>
        <v>91.399999999999991</v>
      </c>
      <c r="Q41" t="str">
        <f t="shared" si="12"/>
        <v>Monitor</v>
      </c>
      <c r="R41" t="str">
        <f t="shared" si="13"/>
        <v>OK</v>
      </c>
    </row>
    <row r="42" spans="1:18">
      <c r="A42" t="str">
        <f>Raw_Inventory_Data!A42</f>
        <v>ACC-MAN-140</v>
      </c>
      <c r="B42" t="str">
        <f>Raw_Inventory_Data!B42</f>
        <v>Accessories</v>
      </c>
      <c r="C42" t="str">
        <f>Raw_Inventory_Data!C42</f>
        <v>OfficePlus Group</v>
      </c>
      <c r="D42" t="str">
        <f>Raw_Inventory_Data!D42</f>
        <v>Manchester Hub</v>
      </c>
      <c r="E42" s="2">
        <f>Raw_Inventory_Data!E42</f>
        <v>42.98</v>
      </c>
      <c r="F42">
        <f>Raw_Inventory_Data!F42</f>
        <v>231</v>
      </c>
      <c r="G42" s="4">
        <f>Raw_Inventory_Data!G42</f>
        <v>31.5</v>
      </c>
      <c r="H42">
        <f>Raw_Inventory_Data!H42</f>
        <v>28</v>
      </c>
      <c r="I42">
        <f>Raw_Inventory_Data!I42</f>
        <v>1.28</v>
      </c>
      <c r="J42">
        <f>Raw_Inventory_Data!J42</f>
        <v>40</v>
      </c>
      <c r="K42">
        <f>Raw_Inventory_Data!K42</f>
        <v>40</v>
      </c>
      <c r="L42" s="2">
        <f t="shared" si="7"/>
        <v>9928.3799999999992</v>
      </c>
      <c r="M42" s="4">
        <f t="shared" si="8"/>
        <v>8.6031746031746028</v>
      </c>
      <c r="N42" s="4">
        <f t="shared" si="9"/>
        <v>80.64</v>
      </c>
      <c r="O42" s="4">
        <f t="shared" si="10"/>
        <v>206.64</v>
      </c>
      <c r="P42" s="4">
        <f t="shared" si="11"/>
        <v>145</v>
      </c>
      <c r="Q42" t="str">
        <f t="shared" si="12"/>
        <v>Monitor</v>
      </c>
      <c r="R42" t="str">
        <f t="shared" si="13"/>
        <v>OK</v>
      </c>
    </row>
    <row r="43" spans="1:18">
      <c r="A43" t="str">
        <f>Raw_Inventory_Data!A43</f>
        <v>ACC-MAN-141</v>
      </c>
      <c r="B43" t="str">
        <f>Raw_Inventory_Data!B43</f>
        <v>Accessories</v>
      </c>
      <c r="C43" t="str">
        <f>Raw_Inventory_Data!C43</f>
        <v>OfficePlus Group</v>
      </c>
      <c r="D43" t="str">
        <f>Raw_Inventory_Data!D43</f>
        <v>Manchester Hub</v>
      </c>
      <c r="E43" s="2">
        <f>Raw_Inventory_Data!E43</f>
        <v>41.69</v>
      </c>
      <c r="F43">
        <f>Raw_Inventory_Data!F43</f>
        <v>220</v>
      </c>
      <c r="G43" s="4">
        <f>Raw_Inventory_Data!G43</f>
        <v>31.6</v>
      </c>
      <c r="H43">
        <f>Raw_Inventory_Data!H43</f>
        <v>18</v>
      </c>
      <c r="I43">
        <f>Raw_Inventory_Data!I43</f>
        <v>1.28</v>
      </c>
      <c r="J43">
        <f>Raw_Inventory_Data!J43</f>
        <v>60</v>
      </c>
      <c r="K43">
        <f>Raw_Inventory_Data!K43</f>
        <v>10</v>
      </c>
      <c r="L43" s="2">
        <f t="shared" si="7"/>
        <v>9171.7999999999993</v>
      </c>
      <c r="M43" s="4">
        <f t="shared" si="8"/>
        <v>7.2784810126582276</v>
      </c>
      <c r="N43" s="4">
        <f t="shared" si="9"/>
        <v>64.861096277242467</v>
      </c>
      <c r="O43" s="4">
        <f t="shared" si="10"/>
        <v>146.11823913438533</v>
      </c>
      <c r="P43" s="4">
        <f t="shared" si="11"/>
        <v>148.74285714285713</v>
      </c>
      <c r="Q43" t="str">
        <f t="shared" si="12"/>
        <v>Monitor</v>
      </c>
      <c r="R43" t="str">
        <f t="shared" si="13"/>
        <v>OK</v>
      </c>
    </row>
    <row r="44" spans="1:18">
      <c r="A44" t="str">
        <f>Raw_Inventory_Data!A44</f>
        <v>ACC-MAN-142</v>
      </c>
      <c r="B44" t="str">
        <f>Raw_Inventory_Data!B44</f>
        <v>Accessories</v>
      </c>
      <c r="C44" t="str">
        <f>Raw_Inventory_Data!C44</f>
        <v>OfficePlus Group</v>
      </c>
      <c r="D44" t="str">
        <f>Raw_Inventory_Data!D44</f>
        <v>Manchester Hub</v>
      </c>
      <c r="E44" s="2">
        <f>Raw_Inventory_Data!E44</f>
        <v>44.67</v>
      </c>
      <c r="F44">
        <f>Raw_Inventory_Data!F44</f>
        <v>179</v>
      </c>
      <c r="G44" s="4">
        <f>Raw_Inventory_Data!G44</f>
        <v>38.4</v>
      </c>
      <c r="H44">
        <f>Raw_Inventory_Data!H44</f>
        <v>14</v>
      </c>
      <c r="I44">
        <f>Raw_Inventory_Data!I44</f>
        <v>1.1499999999999999</v>
      </c>
      <c r="J44">
        <f>Raw_Inventory_Data!J44</f>
        <v>40</v>
      </c>
      <c r="K44">
        <f>Raw_Inventory_Data!K44</f>
        <v>0</v>
      </c>
      <c r="L44" s="2">
        <f t="shared" si="7"/>
        <v>7995.93</v>
      </c>
      <c r="M44" s="4">
        <f t="shared" si="8"/>
        <v>4.6614583333333339</v>
      </c>
      <c r="N44" s="4">
        <f t="shared" si="9"/>
        <v>62.451670914395869</v>
      </c>
      <c r="O44" s="4">
        <f t="shared" si="10"/>
        <v>139.25167091439587</v>
      </c>
      <c r="P44" s="4">
        <f t="shared" si="11"/>
        <v>102.2</v>
      </c>
      <c r="Q44" t="str">
        <f t="shared" si="12"/>
        <v>Monitor</v>
      </c>
      <c r="R44" t="str">
        <f t="shared" si="13"/>
        <v>OK</v>
      </c>
    </row>
    <row r="45" spans="1:18">
      <c r="A45" t="str">
        <f>Raw_Inventory_Data!A45</f>
        <v>ACC-MAN-143</v>
      </c>
      <c r="B45" t="str">
        <f>Raw_Inventory_Data!B45</f>
        <v>Accessories</v>
      </c>
      <c r="C45" t="str">
        <f>Raw_Inventory_Data!C45</f>
        <v>OfficePlus Group</v>
      </c>
      <c r="D45" t="str">
        <f>Raw_Inventory_Data!D45</f>
        <v>Manchester Hub</v>
      </c>
      <c r="E45" s="2">
        <f>Raw_Inventory_Data!E45</f>
        <v>44.4</v>
      </c>
      <c r="F45">
        <f>Raw_Inventory_Data!F45</f>
        <v>160</v>
      </c>
      <c r="G45" s="4">
        <f>Raw_Inventory_Data!G45</f>
        <v>31.5</v>
      </c>
      <c r="H45">
        <f>Raw_Inventory_Data!H45</f>
        <v>28</v>
      </c>
      <c r="I45">
        <f>Raw_Inventory_Data!I45</f>
        <v>1.1499999999999999</v>
      </c>
      <c r="J45">
        <f>Raw_Inventory_Data!J45</f>
        <v>60</v>
      </c>
      <c r="K45">
        <f>Raw_Inventory_Data!K45</f>
        <v>20</v>
      </c>
      <c r="L45" s="2">
        <f t="shared" si="7"/>
        <v>7104</v>
      </c>
      <c r="M45" s="4">
        <f t="shared" si="8"/>
        <v>5.7142857142857144</v>
      </c>
      <c r="N45" s="4">
        <f t="shared" si="9"/>
        <v>72.449999999999989</v>
      </c>
      <c r="O45" s="4">
        <f t="shared" si="10"/>
        <v>198.45</v>
      </c>
      <c r="P45" s="4">
        <f t="shared" si="11"/>
        <v>54</v>
      </c>
      <c r="Q45" t="str">
        <f t="shared" si="12"/>
        <v>Reorder</v>
      </c>
      <c r="R45" t="str">
        <f t="shared" si="13"/>
        <v>OK</v>
      </c>
    </row>
    <row r="46" spans="1:18">
      <c r="A46" t="str">
        <f>Raw_Inventory_Data!A46</f>
        <v>ACC-LON-144</v>
      </c>
      <c r="B46" t="str">
        <f>Raw_Inventory_Data!B46</f>
        <v>Accessories</v>
      </c>
      <c r="C46" t="str">
        <f>Raw_Inventory_Data!C46</f>
        <v>OfficePlus Group</v>
      </c>
      <c r="D46" t="str">
        <f>Raw_Inventory_Data!D46</f>
        <v>London Central</v>
      </c>
      <c r="E46" s="2">
        <f>Raw_Inventory_Data!E46</f>
        <v>43.93</v>
      </c>
      <c r="F46">
        <f>Raw_Inventory_Data!F46</f>
        <v>100</v>
      </c>
      <c r="G46" s="4">
        <f>Raw_Inventory_Data!G46</f>
        <v>30.5</v>
      </c>
      <c r="H46">
        <f>Raw_Inventory_Data!H46</f>
        <v>28</v>
      </c>
      <c r="I46">
        <f>Raw_Inventory_Data!I46</f>
        <v>1.4</v>
      </c>
      <c r="J46">
        <f>Raw_Inventory_Data!J46</f>
        <v>25</v>
      </c>
      <c r="K46">
        <f>Raw_Inventory_Data!K46</f>
        <v>0</v>
      </c>
      <c r="L46" s="2">
        <f t="shared" si="7"/>
        <v>4393</v>
      </c>
      <c r="M46" s="4">
        <f t="shared" si="8"/>
        <v>3.278688524590164</v>
      </c>
      <c r="N46" s="4">
        <f t="shared" si="9"/>
        <v>85.399999999999991</v>
      </c>
      <c r="O46" s="4">
        <f t="shared" si="10"/>
        <v>207.39999999999998</v>
      </c>
      <c r="P46" s="4">
        <f t="shared" si="11"/>
        <v>-22</v>
      </c>
      <c r="Q46" t="str">
        <f t="shared" si="12"/>
        <v>Reorder</v>
      </c>
      <c r="R46" t="str">
        <f t="shared" si="13"/>
        <v>OK</v>
      </c>
    </row>
    <row r="47" spans="1:18">
      <c r="A47" t="str">
        <f>Raw_Inventory_Data!A47</f>
        <v>ACC-LON-145</v>
      </c>
      <c r="B47" t="str">
        <f>Raw_Inventory_Data!B47</f>
        <v>Accessories</v>
      </c>
      <c r="C47" t="str">
        <f>Raw_Inventory_Data!C47</f>
        <v>OfficePlus Group</v>
      </c>
      <c r="D47" t="str">
        <f>Raw_Inventory_Data!D47</f>
        <v>London Central</v>
      </c>
      <c r="E47" s="2">
        <f>Raw_Inventory_Data!E47</f>
        <v>42.45</v>
      </c>
      <c r="F47">
        <f>Raw_Inventory_Data!F47</f>
        <v>140</v>
      </c>
      <c r="G47" s="4">
        <f>Raw_Inventory_Data!G47</f>
        <v>32.200000000000003</v>
      </c>
      <c r="H47">
        <f>Raw_Inventory_Data!H47</f>
        <v>14</v>
      </c>
      <c r="I47">
        <f>Raw_Inventory_Data!I47</f>
        <v>1.55</v>
      </c>
      <c r="J47">
        <f>Raw_Inventory_Data!J47</f>
        <v>40</v>
      </c>
      <c r="K47">
        <f>Raw_Inventory_Data!K47</f>
        <v>0</v>
      </c>
      <c r="L47" s="2">
        <f t="shared" si="7"/>
        <v>5943</v>
      </c>
      <c r="M47" s="4">
        <f t="shared" si="8"/>
        <v>4.3478260869565215</v>
      </c>
      <c r="N47" s="4">
        <f t="shared" si="9"/>
        <v>70.583398898041196</v>
      </c>
      <c r="O47" s="4">
        <f t="shared" si="10"/>
        <v>134.9833988980412</v>
      </c>
      <c r="P47" s="4">
        <f t="shared" si="11"/>
        <v>75.599999999999994</v>
      </c>
      <c r="Q47" t="str">
        <f t="shared" si="12"/>
        <v>Monitor</v>
      </c>
      <c r="R47" t="str">
        <f t="shared" si="13"/>
        <v>OK</v>
      </c>
    </row>
    <row r="48" spans="1:18">
      <c r="A48" t="str">
        <f>Raw_Inventory_Data!A48</f>
        <v>ACC-LON-146</v>
      </c>
      <c r="B48" t="str">
        <f>Raw_Inventory_Data!B48</f>
        <v>Accessories</v>
      </c>
      <c r="C48" t="str">
        <f>Raw_Inventory_Data!C48</f>
        <v>OfficePlus Group</v>
      </c>
      <c r="D48" t="str">
        <f>Raw_Inventory_Data!D48</f>
        <v>London Central</v>
      </c>
      <c r="E48" s="2">
        <f>Raw_Inventory_Data!E48</f>
        <v>44.16</v>
      </c>
      <c r="F48">
        <f>Raw_Inventory_Data!F48</f>
        <v>131</v>
      </c>
      <c r="G48" s="4">
        <f>Raw_Inventory_Data!G48</f>
        <v>30.4</v>
      </c>
      <c r="H48">
        <f>Raw_Inventory_Data!H48</f>
        <v>18</v>
      </c>
      <c r="I48">
        <f>Raw_Inventory_Data!I48</f>
        <v>1.28</v>
      </c>
      <c r="J48">
        <f>Raw_Inventory_Data!J48</f>
        <v>50</v>
      </c>
      <c r="K48">
        <f>Raw_Inventory_Data!K48</f>
        <v>40</v>
      </c>
      <c r="L48" s="2">
        <f t="shared" si="7"/>
        <v>5784.9599999999991</v>
      </c>
      <c r="M48" s="4">
        <f t="shared" si="8"/>
        <v>5.625</v>
      </c>
      <c r="N48" s="4">
        <f t="shared" si="9"/>
        <v>62.398016671777555</v>
      </c>
      <c r="O48" s="4">
        <f t="shared" si="10"/>
        <v>140.56944524320613</v>
      </c>
      <c r="P48" s="4">
        <f t="shared" si="11"/>
        <v>92.828571428571422</v>
      </c>
      <c r="Q48" t="str">
        <f t="shared" si="12"/>
        <v>Monitor</v>
      </c>
      <c r="R48" t="str">
        <f t="shared" si="13"/>
        <v>OK</v>
      </c>
    </row>
    <row r="49" spans="1:18">
      <c r="A49" t="str">
        <f>Raw_Inventory_Data!A49</f>
        <v>ACC-LON-147</v>
      </c>
      <c r="B49" t="str">
        <f>Raw_Inventory_Data!B49</f>
        <v>Accessories</v>
      </c>
      <c r="C49" t="str">
        <f>Raw_Inventory_Data!C49</f>
        <v>OfficePlus Group</v>
      </c>
      <c r="D49" t="str">
        <f>Raw_Inventory_Data!D49</f>
        <v>London Central</v>
      </c>
      <c r="E49" s="2">
        <f>Raw_Inventory_Data!E49</f>
        <v>39.14</v>
      </c>
      <c r="F49">
        <f>Raw_Inventory_Data!F49</f>
        <v>128</v>
      </c>
      <c r="G49" s="4">
        <f>Raw_Inventory_Data!G49</f>
        <v>31.3</v>
      </c>
      <c r="H49">
        <f>Raw_Inventory_Data!H49</f>
        <v>14</v>
      </c>
      <c r="I49">
        <f>Raw_Inventory_Data!I49</f>
        <v>1.1499999999999999</v>
      </c>
      <c r="J49">
        <f>Raw_Inventory_Data!J49</f>
        <v>30</v>
      </c>
      <c r="K49">
        <f>Raw_Inventory_Data!K49</f>
        <v>30</v>
      </c>
      <c r="L49" s="2">
        <f t="shared" si="7"/>
        <v>5009.92</v>
      </c>
      <c r="M49" s="4">
        <f t="shared" si="8"/>
        <v>5.0479233226837064</v>
      </c>
      <c r="N49" s="4">
        <f t="shared" si="9"/>
        <v>50.904617177619556</v>
      </c>
      <c r="O49" s="4">
        <f t="shared" si="10"/>
        <v>113.50461717761956</v>
      </c>
      <c r="P49" s="4">
        <f t="shared" si="11"/>
        <v>95.4</v>
      </c>
      <c r="Q49" t="str">
        <f t="shared" si="12"/>
        <v>Monitor</v>
      </c>
      <c r="R49" t="str">
        <f t="shared" si="13"/>
        <v>OK</v>
      </c>
    </row>
    <row r="50" spans="1:18">
      <c r="A50" t="str">
        <f>Raw_Inventory_Data!A50</f>
        <v>MON-BIR-148</v>
      </c>
      <c r="B50" t="str">
        <f>Raw_Inventory_Data!B50</f>
        <v>Monitors</v>
      </c>
      <c r="C50" t="str">
        <f>Raw_Inventory_Data!C50</f>
        <v>DisplayHub Ltd</v>
      </c>
      <c r="D50" t="str">
        <f>Raw_Inventory_Data!D50</f>
        <v>Birmingham DC</v>
      </c>
      <c r="E50" s="2">
        <f>Raw_Inventory_Data!E50</f>
        <v>175.61</v>
      </c>
      <c r="F50">
        <f>Raw_Inventory_Data!F50</f>
        <v>97</v>
      </c>
      <c r="G50" s="4">
        <f>Raw_Inventory_Data!G50</f>
        <v>15.7</v>
      </c>
      <c r="H50">
        <f>Raw_Inventory_Data!H50</f>
        <v>28</v>
      </c>
      <c r="I50">
        <f>Raw_Inventory_Data!I50</f>
        <v>1.28</v>
      </c>
      <c r="J50">
        <f>Raw_Inventory_Data!J50</f>
        <v>30</v>
      </c>
      <c r="K50">
        <f>Raw_Inventory_Data!K50</f>
        <v>40</v>
      </c>
      <c r="L50" s="2">
        <f t="shared" si="7"/>
        <v>17034.170000000002</v>
      </c>
      <c r="M50" s="4">
        <f t="shared" si="8"/>
        <v>8.7261146496815289</v>
      </c>
      <c r="N50" s="4">
        <f t="shared" si="9"/>
        <v>40.192</v>
      </c>
      <c r="O50" s="4">
        <f t="shared" si="10"/>
        <v>102.99199999999999</v>
      </c>
      <c r="P50" s="4">
        <f t="shared" si="11"/>
        <v>74.2</v>
      </c>
      <c r="Q50" t="str">
        <f t="shared" si="12"/>
        <v>Monitor</v>
      </c>
      <c r="R50" t="str">
        <f t="shared" si="13"/>
        <v>OK</v>
      </c>
    </row>
    <row r="51" spans="1:18">
      <c r="A51" t="str">
        <f>Raw_Inventory_Data!A51</f>
        <v>MON-BIR-149</v>
      </c>
      <c r="B51" t="str">
        <f>Raw_Inventory_Data!B51</f>
        <v>Monitors</v>
      </c>
      <c r="C51" t="str">
        <f>Raw_Inventory_Data!C51</f>
        <v>DisplayHub Ltd</v>
      </c>
      <c r="D51" t="str">
        <f>Raw_Inventory_Data!D51</f>
        <v>Birmingham DC</v>
      </c>
      <c r="E51" s="2">
        <f>Raw_Inventory_Data!E51</f>
        <v>176.9</v>
      </c>
      <c r="F51">
        <f>Raw_Inventory_Data!F51</f>
        <v>85</v>
      </c>
      <c r="G51" s="4">
        <f>Raw_Inventory_Data!G51</f>
        <v>14.3</v>
      </c>
      <c r="H51">
        <f>Raw_Inventory_Data!H51</f>
        <v>28</v>
      </c>
      <c r="I51">
        <f>Raw_Inventory_Data!I51</f>
        <v>1.1499999999999999</v>
      </c>
      <c r="J51">
        <f>Raw_Inventory_Data!J51</f>
        <v>30</v>
      </c>
      <c r="K51">
        <f>Raw_Inventory_Data!K51</f>
        <v>20</v>
      </c>
      <c r="L51" s="2">
        <f t="shared" si="7"/>
        <v>15036.5</v>
      </c>
      <c r="M51" s="4">
        <f t="shared" si="8"/>
        <v>7.3426573426573425</v>
      </c>
      <c r="N51" s="4">
        <f t="shared" si="9"/>
        <v>32.89</v>
      </c>
      <c r="O51" s="4">
        <f t="shared" si="10"/>
        <v>90.09</v>
      </c>
      <c r="P51" s="4">
        <f t="shared" si="11"/>
        <v>47.8</v>
      </c>
      <c r="Q51" t="str">
        <f t="shared" si="12"/>
        <v>Monitor</v>
      </c>
      <c r="R51" t="str">
        <f t="shared" si="13"/>
        <v>OK</v>
      </c>
    </row>
    <row r="52" spans="1:18">
      <c r="A52" t="str">
        <f>Raw_Inventory_Data!A52</f>
        <v>MON-BIR-150</v>
      </c>
      <c r="B52" t="str">
        <f>Raw_Inventory_Data!B52</f>
        <v>Monitors</v>
      </c>
      <c r="C52" t="str">
        <f>Raw_Inventory_Data!C52</f>
        <v>DisplayHub Ltd</v>
      </c>
      <c r="D52" t="str">
        <f>Raw_Inventory_Data!D52</f>
        <v>Birmingham DC</v>
      </c>
      <c r="E52" s="2">
        <f>Raw_Inventory_Data!E52</f>
        <v>173.78</v>
      </c>
      <c r="F52">
        <f>Raw_Inventory_Data!F52</f>
        <v>64</v>
      </c>
      <c r="G52" s="4">
        <f>Raw_Inventory_Data!G52</f>
        <v>15</v>
      </c>
      <c r="H52">
        <f>Raw_Inventory_Data!H52</f>
        <v>28</v>
      </c>
      <c r="I52">
        <f>Raw_Inventory_Data!I52</f>
        <v>1.4</v>
      </c>
      <c r="J52">
        <f>Raw_Inventory_Data!J52</f>
        <v>25</v>
      </c>
      <c r="K52">
        <f>Raw_Inventory_Data!K52</f>
        <v>10</v>
      </c>
      <c r="L52" s="2">
        <f t="shared" si="7"/>
        <v>11121.92</v>
      </c>
      <c r="M52" s="4">
        <f t="shared" si="8"/>
        <v>4.9333333333333336</v>
      </c>
      <c r="N52" s="4">
        <f t="shared" si="9"/>
        <v>42</v>
      </c>
      <c r="O52" s="4">
        <f t="shared" si="10"/>
        <v>102</v>
      </c>
      <c r="P52" s="4">
        <f t="shared" si="11"/>
        <v>14</v>
      </c>
      <c r="Q52" t="str">
        <f t="shared" si="12"/>
        <v>Reorder</v>
      </c>
      <c r="R52" t="str">
        <f t="shared" si="13"/>
        <v>OK</v>
      </c>
    </row>
    <row r="53" spans="1:18">
      <c r="A53" t="str">
        <f>Raw_Inventory_Data!A53</f>
        <v>MON-BIR-151</v>
      </c>
      <c r="B53" t="str">
        <f>Raw_Inventory_Data!B53</f>
        <v>Monitors</v>
      </c>
      <c r="C53" t="str">
        <f>Raw_Inventory_Data!C53</f>
        <v>DisplayHub Ltd</v>
      </c>
      <c r="D53" t="str">
        <f>Raw_Inventory_Data!D53</f>
        <v>Birmingham DC</v>
      </c>
      <c r="E53" s="2">
        <f>Raw_Inventory_Data!E53</f>
        <v>170.61</v>
      </c>
      <c r="F53">
        <f>Raw_Inventory_Data!F53</f>
        <v>93</v>
      </c>
      <c r="G53" s="4">
        <f>Raw_Inventory_Data!G53</f>
        <v>16.7</v>
      </c>
      <c r="H53">
        <f>Raw_Inventory_Data!H53</f>
        <v>10</v>
      </c>
      <c r="I53">
        <f>Raw_Inventory_Data!I53</f>
        <v>1.55</v>
      </c>
      <c r="J53">
        <f>Raw_Inventory_Data!J53</f>
        <v>40</v>
      </c>
      <c r="K53">
        <f>Raw_Inventory_Data!K53</f>
        <v>40</v>
      </c>
      <c r="L53" s="2">
        <f t="shared" si="7"/>
        <v>15866.730000000001</v>
      </c>
      <c r="M53" s="4">
        <f t="shared" si="8"/>
        <v>7.9640718562874255</v>
      </c>
      <c r="N53" s="4">
        <f t="shared" si="9"/>
        <v>30.938492552620776</v>
      </c>
      <c r="O53" s="4">
        <f t="shared" si="10"/>
        <v>54.795635409763634</v>
      </c>
      <c r="P53" s="4">
        <f t="shared" si="11"/>
        <v>109.14285714285714</v>
      </c>
      <c r="Q53" t="str">
        <f t="shared" si="12"/>
        <v>Monitor</v>
      </c>
      <c r="R53" t="str">
        <f t="shared" si="13"/>
        <v>OK</v>
      </c>
    </row>
    <row r="54" spans="1:18">
      <c r="A54" t="str">
        <f>Raw_Inventory_Data!A54</f>
        <v>MON-MAN-152</v>
      </c>
      <c r="B54" t="str">
        <f>Raw_Inventory_Data!B54</f>
        <v>Monitors</v>
      </c>
      <c r="C54" t="str">
        <f>Raw_Inventory_Data!C54</f>
        <v>DisplayHub Ltd</v>
      </c>
      <c r="D54" t="str">
        <f>Raw_Inventory_Data!D54</f>
        <v>Manchester Hub</v>
      </c>
      <c r="E54" s="2">
        <f>Raw_Inventory_Data!E54</f>
        <v>173.96</v>
      </c>
      <c r="F54">
        <f>Raw_Inventory_Data!F54</f>
        <v>51</v>
      </c>
      <c r="G54" s="4">
        <f>Raw_Inventory_Data!G54</f>
        <v>15.2</v>
      </c>
      <c r="H54">
        <f>Raw_Inventory_Data!H54</f>
        <v>21</v>
      </c>
      <c r="I54">
        <f>Raw_Inventory_Data!I54</f>
        <v>1.55</v>
      </c>
      <c r="J54">
        <f>Raw_Inventory_Data!J54</f>
        <v>40</v>
      </c>
      <c r="K54">
        <f>Raw_Inventory_Data!K54</f>
        <v>30</v>
      </c>
      <c r="L54" s="2">
        <f t="shared" si="7"/>
        <v>8871.9600000000009</v>
      </c>
      <c r="M54" s="4">
        <f t="shared" si="8"/>
        <v>5.3289473684210531</v>
      </c>
      <c r="N54" s="4">
        <f t="shared" si="9"/>
        <v>40.80711702632275</v>
      </c>
      <c r="O54" s="4">
        <f t="shared" si="10"/>
        <v>86.407117026322737</v>
      </c>
      <c r="P54" s="4">
        <f t="shared" si="11"/>
        <v>35.400000000000006</v>
      </c>
      <c r="Q54" t="str">
        <f t="shared" si="12"/>
        <v>Reorder</v>
      </c>
      <c r="R54" t="str">
        <f t="shared" si="13"/>
        <v>OK</v>
      </c>
    </row>
    <row r="55" spans="1:18">
      <c r="A55" t="str">
        <f>Raw_Inventory_Data!A55</f>
        <v>MON-MAN-153</v>
      </c>
      <c r="B55" t="str">
        <f>Raw_Inventory_Data!B55</f>
        <v>Monitors</v>
      </c>
      <c r="C55" t="str">
        <f>Raw_Inventory_Data!C55</f>
        <v>DisplayHub Ltd</v>
      </c>
      <c r="D55" t="str">
        <f>Raw_Inventory_Data!D55</f>
        <v>Manchester Hub</v>
      </c>
      <c r="E55" s="2">
        <f>Raw_Inventory_Data!E55</f>
        <v>176.38</v>
      </c>
      <c r="F55">
        <f>Raw_Inventory_Data!F55</f>
        <v>91</v>
      </c>
      <c r="G55" s="4">
        <f>Raw_Inventory_Data!G55</f>
        <v>17.3</v>
      </c>
      <c r="H55">
        <f>Raw_Inventory_Data!H55</f>
        <v>7</v>
      </c>
      <c r="I55">
        <f>Raw_Inventory_Data!I55</f>
        <v>1.1499999999999999</v>
      </c>
      <c r="J55">
        <f>Raw_Inventory_Data!J55</f>
        <v>25</v>
      </c>
      <c r="K55">
        <f>Raw_Inventory_Data!K55</f>
        <v>0</v>
      </c>
      <c r="L55" s="2">
        <f t="shared" si="7"/>
        <v>16050.58</v>
      </c>
      <c r="M55" s="4">
        <f t="shared" si="8"/>
        <v>5.2601156069364157</v>
      </c>
      <c r="N55" s="4">
        <f t="shared" si="9"/>
        <v>19.895</v>
      </c>
      <c r="O55" s="4">
        <f t="shared" si="10"/>
        <v>37.195</v>
      </c>
      <c r="P55" s="4">
        <f t="shared" si="11"/>
        <v>73.7</v>
      </c>
      <c r="Q55" t="str">
        <f t="shared" si="12"/>
        <v>Monitor</v>
      </c>
      <c r="R55" t="str">
        <f t="shared" si="13"/>
        <v>OK</v>
      </c>
    </row>
    <row r="56" spans="1:18">
      <c r="A56" t="str">
        <f>Raw_Inventory_Data!A56</f>
        <v>MON-MAN-154</v>
      </c>
      <c r="B56" t="str">
        <f>Raw_Inventory_Data!B56</f>
        <v>Monitors</v>
      </c>
      <c r="C56" t="str">
        <f>Raw_Inventory_Data!C56</f>
        <v>DisplayHub Ltd</v>
      </c>
      <c r="D56" t="str">
        <f>Raw_Inventory_Data!D56</f>
        <v>Manchester Hub</v>
      </c>
      <c r="E56" s="2">
        <f>Raw_Inventory_Data!E56</f>
        <v>182.09</v>
      </c>
      <c r="F56">
        <f>Raw_Inventory_Data!F56</f>
        <v>58</v>
      </c>
      <c r="G56" s="4">
        <f>Raw_Inventory_Data!G56</f>
        <v>15.5</v>
      </c>
      <c r="H56">
        <f>Raw_Inventory_Data!H56</f>
        <v>7</v>
      </c>
      <c r="I56">
        <f>Raw_Inventory_Data!I56</f>
        <v>1.55</v>
      </c>
      <c r="J56">
        <f>Raw_Inventory_Data!J56</f>
        <v>25</v>
      </c>
      <c r="K56">
        <f>Raw_Inventory_Data!K56</f>
        <v>30</v>
      </c>
      <c r="L56" s="2">
        <f t="shared" si="7"/>
        <v>10561.22</v>
      </c>
      <c r="M56" s="4">
        <f t="shared" si="8"/>
        <v>5.67741935483871</v>
      </c>
      <c r="N56" s="4">
        <f t="shared" si="9"/>
        <v>24.025000000000002</v>
      </c>
      <c r="O56" s="4">
        <f t="shared" si="10"/>
        <v>39.525000000000006</v>
      </c>
      <c r="P56" s="4">
        <f t="shared" si="11"/>
        <v>72.5</v>
      </c>
      <c r="Q56" t="str">
        <f t="shared" si="12"/>
        <v>Monitor</v>
      </c>
      <c r="R56" t="str">
        <f t="shared" si="13"/>
        <v>OK</v>
      </c>
    </row>
    <row r="57" spans="1:18">
      <c r="A57" t="str">
        <f>Raw_Inventory_Data!A57</f>
        <v>MON-MAN-155</v>
      </c>
      <c r="B57" t="str">
        <f>Raw_Inventory_Data!B57</f>
        <v>Monitors</v>
      </c>
      <c r="C57" t="str">
        <f>Raw_Inventory_Data!C57</f>
        <v>DisplayHub Ltd</v>
      </c>
      <c r="D57" t="str">
        <f>Raw_Inventory_Data!D57</f>
        <v>Manchester Hub</v>
      </c>
      <c r="E57" s="2">
        <f>Raw_Inventory_Data!E57</f>
        <v>166.22</v>
      </c>
      <c r="F57">
        <f>Raw_Inventory_Data!F57</f>
        <v>95</v>
      </c>
      <c r="G57" s="4">
        <f>Raw_Inventory_Data!G57</f>
        <v>16</v>
      </c>
      <c r="H57">
        <f>Raw_Inventory_Data!H57</f>
        <v>10</v>
      </c>
      <c r="I57">
        <f>Raw_Inventory_Data!I57</f>
        <v>1.28</v>
      </c>
      <c r="J57">
        <f>Raw_Inventory_Data!J57</f>
        <v>50</v>
      </c>
      <c r="K57">
        <f>Raw_Inventory_Data!K57</f>
        <v>30</v>
      </c>
      <c r="L57" s="2">
        <f t="shared" si="7"/>
        <v>15790.9</v>
      </c>
      <c r="M57" s="4">
        <f t="shared" si="8"/>
        <v>7.8125</v>
      </c>
      <c r="N57" s="4">
        <f t="shared" si="9"/>
        <v>24.478281919168381</v>
      </c>
      <c r="O57" s="4">
        <f t="shared" si="10"/>
        <v>47.335424776311243</v>
      </c>
      <c r="P57" s="4">
        <f t="shared" si="11"/>
        <v>102.14285714285714</v>
      </c>
      <c r="Q57" t="str">
        <f t="shared" si="12"/>
        <v>Monitor</v>
      </c>
      <c r="R57" t="str">
        <f t="shared" si="13"/>
        <v>OK</v>
      </c>
    </row>
    <row r="58" spans="1:18">
      <c r="A58" t="str">
        <f>Raw_Inventory_Data!A58</f>
        <v>MON-LON-156</v>
      </c>
      <c r="B58" t="str">
        <f>Raw_Inventory_Data!B58</f>
        <v>Monitors</v>
      </c>
      <c r="C58" t="str">
        <f>Raw_Inventory_Data!C58</f>
        <v>DisplayHub Ltd</v>
      </c>
      <c r="D58" t="str">
        <f>Raw_Inventory_Data!D58</f>
        <v>London Central</v>
      </c>
      <c r="E58" s="2">
        <f>Raw_Inventory_Data!E58</f>
        <v>161.99</v>
      </c>
      <c r="F58">
        <f>Raw_Inventory_Data!F58</f>
        <v>128</v>
      </c>
      <c r="G58" s="4">
        <f>Raw_Inventory_Data!G58</f>
        <v>18.100000000000001</v>
      </c>
      <c r="H58">
        <f>Raw_Inventory_Data!H58</f>
        <v>28</v>
      </c>
      <c r="I58">
        <f>Raw_Inventory_Data!I58</f>
        <v>1.1499999999999999</v>
      </c>
      <c r="J58">
        <f>Raw_Inventory_Data!J58</f>
        <v>20</v>
      </c>
      <c r="K58">
        <f>Raw_Inventory_Data!K58</f>
        <v>20</v>
      </c>
      <c r="L58" s="2">
        <f t="shared" si="7"/>
        <v>20734.72</v>
      </c>
      <c r="M58" s="4">
        <f t="shared" si="8"/>
        <v>8.1767955801104968</v>
      </c>
      <c r="N58" s="4">
        <f t="shared" si="9"/>
        <v>41.63</v>
      </c>
      <c r="O58" s="4">
        <f t="shared" si="10"/>
        <v>114.03</v>
      </c>
      <c r="P58" s="4">
        <f t="shared" si="11"/>
        <v>75.599999999999994</v>
      </c>
      <c r="Q58" t="str">
        <f t="shared" si="12"/>
        <v>Monitor</v>
      </c>
      <c r="R58" t="str">
        <f t="shared" si="13"/>
        <v>OK</v>
      </c>
    </row>
    <row r="59" spans="1:18">
      <c r="A59" t="str">
        <f>Raw_Inventory_Data!A59</f>
        <v>MON-LON-157</v>
      </c>
      <c r="B59" t="str">
        <f>Raw_Inventory_Data!B59</f>
        <v>Monitors</v>
      </c>
      <c r="C59" t="str">
        <f>Raw_Inventory_Data!C59</f>
        <v>DisplayHub Ltd</v>
      </c>
      <c r="D59" t="str">
        <f>Raw_Inventory_Data!D59</f>
        <v>London Central</v>
      </c>
      <c r="E59" s="2">
        <f>Raw_Inventory_Data!E59</f>
        <v>179.81</v>
      </c>
      <c r="F59">
        <f>Raw_Inventory_Data!F59</f>
        <v>85</v>
      </c>
      <c r="G59" s="4">
        <f>Raw_Inventory_Data!G59</f>
        <v>14.1</v>
      </c>
      <c r="H59">
        <f>Raw_Inventory_Data!H59</f>
        <v>7</v>
      </c>
      <c r="I59">
        <f>Raw_Inventory_Data!I59</f>
        <v>1.55</v>
      </c>
      <c r="J59">
        <f>Raw_Inventory_Data!J59</f>
        <v>60</v>
      </c>
      <c r="K59">
        <f>Raw_Inventory_Data!K59</f>
        <v>10</v>
      </c>
      <c r="L59" s="2">
        <f t="shared" si="7"/>
        <v>15283.85</v>
      </c>
      <c r="M59" s="4">
        <f t="shared" si="8"/>
        <v>6.7375886524822697</v>
      </c>
      <c r="N59" s="4">
        <f t="shared" si="9"/>
        <v>21.855</v>
      </c>
      <c r="O59" s="4">
        <f t="shared" si="10"/>
        <v>35.954999999999998</v>
      </c>
      <c r="P59" s="4">
        <f t="shared" si="11"/>
        <v>80.900000000000006</v>
      </c>
      <c r="Q59" t="str">
        <f t="shared" si="12"/>
        <v>Monitor</v>
      </c>
      <c r="R59" t="str">
        <f t="shared" si="13"/>
        <v>OK</v>
      </c>
    </row>
    <row r="60" spans="1:18">
      <c r="A60" t="str">
        <f>Raw_Inventory_Data!A60</f>
        <v>MON-LON-158</v>
      </c>
      <c r="B60" t="str">
        <f>Raw_Inventory_Data!B60</f>
        <v>Monitors</v>
      </c>
      <c r="C60" t="str">
        <f>Raw_Inventory_Data!C60</f>
        <v>DisplayHub Ltd</v>
      </c>
      <c r="D60" t="str">
        <f>Raw_Inventory_Data!D60</f>
        <v>London Central</v>
      </c>
      <c r="E60" s="2">
        <f>Raw_Inventory_Data!E60</f>
        <v>170.51</v>
      </c>
      <c r="F60">
        <f>Raw_Inventory_Data!F60</f>
        <v>77</v>
      </c>
      <c r="G60" s="4">
        <f>Raw_Inventory_Data!G60</f>
        <v>18.2</v>
      </c>
      <c r="H60">
        <f>Raw_Inventory_Data!H60</f>
        <v>21</v>
      </c>
      <c r="I60">
        <f>Raw_Inventory_Data!I60</f>
        <v>1.4</v>
      </c>
      <c r="J60">
        <f>Raw_Inventory_Data!J60</f>
        <v>30</v>
      </c>
      <c r="K60">
        <f>Raw_Inventory_Data!K60</f>
        <v>0</v>
      </c>
      <c r="L60" s="2">
        <f t="shared" si="7"/>
        <v>13129.269999999999</v>
      </c>
      <c r="M60" s="4">
        <f t="shared" si="8"/>
        <v>4.2307692307692308</v>
      </c>
      <c r="N60" s="4">
        <f t="shared" si="9"/>
        <v>44.132654576854982</v>
      </c>
      <c r="O60" s="4">
        <f t="shared" si="10"/>
        <v>98.732654576854969</v>
      </c>
      <c r="P60" s="4">
        <f t="shared" si="11"/>
        <v>22.400000000000006</v>
      </c>
      <c r="Q60" t="str">
        <f t="shared" si="12"/>
        <v>Reorder</v>
      </c>
      <c r="R60" t="str">
        <f t="shared" si="13"/>
        <v>OK</v>
      </c>
    </row>
    <row r="61" spans="1:18">
      <c r="A61" t="str">
        <f>Raw_Inventory_Data!A61</f>
        <v>MON-LON-159</v>
      </c>
      <c r="B61" t="str">
        <f>Raw_Inventory_Data!B61</f>
        <v>Monitors</v>
      </c>
      <c r="C61" t="str">
        <f>Raw_Inventory_Data!C61</f>
        <v>DisplayHub Ltd</v>
      </c>
      <c r="D61" t="str">
        <f>Raw_Inventory_Data!D61</f>
        <v>London Central</v>
      </c>
      <c r="E61" s="2">
        <f>Raw_Inventory_Data!E61</f>
        <v>168.09</v>
      </c>
      <c r="F61">
        <f>Raw_Inventory_Data!F61</f>
        <v>45</v>
      </c>
      <c r="G61" s="4">
        <f>Raw_Inventory_Data!G61</f>
        <v>13.9</v>
      </c>
      <c r="H61">
        <f>Raw_Inventory_Data!H61</f>
        <v>28</v>
      </c>
      <c r="I61">
        <f>Raw_Inventory_Data!I61</f>
        <v>1.28</v>
      </c>
      <c r="J61">
        <f>Raw_Inventory_Data!J61</f>
        <v>40</v>
      </c>
      <c r="K61">
        <f>Raw_Inventory_Data!K61</f>
        <v>30</v>
      </c>
      <c r="L61" s="2">
        <f t="shared" si="7"/>
        <v>7564.05</v>
      </c>
      <c r="M61" s="4">
        <f t="shared" si="8"/>
        <v>5.3956834532374103</v>
      </c>
      <c r="N61" s="4">
        <f t="shared" si="9"/>
        <v>35.584000000000003</v>
      </c>
      <c r="O61" s="4">
        <f t="shared" si="10"/>
        <v>91.183999999999997</v>
      </c>
      <c r="P61" s="4">
        <f t="shared" si="11"/>
        <v>19.399999999999999</v>
      </c>
      <c r="Q61" t="str">
        <f t="shared" si="12"/>
        <v>Reorder</v>
      </c>
      <c r="R61" t="str">
        <f t="shared" si="13"/>
        <v>OK</v>
      </c>
    </row>
    <row r="62" spans="1:18">
      <c r="A62" t="str">
        <f>Raw_Inventory_Data!A62</f>
        <v>PRI-BIR-160</v>
      </c>
      <c r="B62" t="str">
        <f>Raw_Inventory_Data!B62</f>
        <v>Printers</v>
      </c>
      <c r="C62" t="str">
        <f>Raw_Inventory_Data!C62</f>
        <v>PrintLogix</v>
      </c>
      <c r="D62" t="str">
        <f>Raw_Inventory_Data!D62</f>
        <v>Birmingham DC</v>
      </c>
      <c r="E62" s="2">
        <f>Raw_Inventory_Data!E62</f>
        <v>240.13</v>
      </c>
      <c r="F62">
        <f>Raw_Inventory_Data!F62</f>
        <v>88</v>
      </c>
      <c r="G62" s="4">
        <f>Raw_Inventory_Data!G62</f>
        <v>12.8</v>
      </c>
      <c r="H62">
        <f>Raw_Inventory_Data!H62</f>
        <v>21</v>
      </c>
      <c r="I62">
        <f>Raw_Inventory_Data!I62</f>
        <v>1.55</v>
      </c>
      <c r="J62">
        <f>Raw_Inventory_Data!J62</f>
        <v>50</v>
      </c>
      <c r="K62">
        <f>Raw_Inventory_Data!K62</f>
        <v>0</v>
      </c>
      <c r="L62" s="2">
        <f t="shared" si="7"/>
        <v>21131.439999999999</v>
      </c>
      <c r="M62" s="4">
        <f t="shared" si="8"/>
        <v>6.875</v>
      </c>
      <c r="N62" s="4">
        <f t="shared" si="9"/>
        <v>34.363888022166527</v>
      </c>
      <c r="O62" s="4">
        <f t="shared" si="10"/>
        <v>72.763888022166526</v>
      </c>
      <c r="P62" s="4">
        <f t="shared" si="11"/>
        <v>49.599999999999994</v>
      </c>
      <c r="Q62" t="str">
        <f t="shared" si="12"/>
        <v>Monitor</v>
      </c>
      <c r="R62" t="str">
        <f t="shared" si="13"/>
        <v>OK</v>
      </c>
    </row>
    <row r="63" spans="1:18">
      <c r="A63" t="str">
        <f>Raw_Inventory_Data!A63</f>
        <v>PRI-BIR-161</v>
      </c>
      <c r="B63" t="str">
        <f>Raw_Inventory_Data!B63</f>
        <v>Printers</v>
      </c>
      <c r="C63" t="str">
        <f>Raw_Inventory_Data!C63</f>
        <v>PrintLogix</v>
      </c>
      <c r="D63" t="str">
        <f>Raw_Inventory_Data!D63</f>
        <v>Birmingham DC</v>
      </c>
      <c r="E63" s="2">
        <f>Raw_Inventory_Data!E63</f>
        <v>237.96</v>
      </c>
      <c r="F63">
        <f>Raw_Inventory_Data!F63</f>
        <v>37</v>
      </c>
      <c r="G63" s="4">
        <f>Raw_Inventory_Data!G63</f>
        <v>11.1</v>
      </c>
      <c r="H63">
        <f>Raw_Inventory_Data!H63</f>
        <v>18</v>
      </c>
      <c r="I63">
        <f>Raw_Inventory_Data!I63</f>
        <v>1.1499999999999999</v>
      </c>
      <c r="J63">
        <f>Raw_Inventory_Data!J63</f>
        <v>20</v>
      </c>
      <c r="K63">
        <f>Raw_Inventory_Data!K63</f>
        <v>0</v>
      </c>
      <c r="L63" s="2">
        <f t="shared" si="7"/>
        <v>8804.52</v>
      </c>
      <c r="M63" s="4">
        <f t="shared" si="8"/>
        <v>3.3333333333333335</v>
      </c>
      <c r="N63" s="4">
        <f t="shared" si="9"/>
        <v>20.469538518072586</v>
      </c>
      <c r="O63" s="4">
        <f t="shared" si="10"/>
        <v>49.012395660929727</v>
      </c>
      <c r="P63" s="4">
        <f t="shared" si="11"/>
        <v>8.4571428571428555</v>
      </c>
      <c r="Q63" t="str">
        <f t="shared" si="12"/>
        <v>Reorder</v>
      </c>
      <c r="R63" t="str">
        <f t="shared" si="13"/>
        <v>OK</v>
      </c>
    </row>
    <row r="64" spans="1:18">
      <c r="A64" t="str">
        <f>Raw_Inventory_Data!A64</f>
        <v>PRI-BIR-162</v>
      </c>
      <c r="B64" t="str">
        <f>Raw_Inventory_Data!B64</f>
        <v>Printers</v>
      </c>
      <c r="C64" t="str">
        <f>Raw_Inventory_Data!C64</f>
        <v>PrintLogix</v>
      </c>
      <c r="D64" t="str">
        <f>Raw_Inventory_Data!D64</f>
        <v>Birmingham DC</v>
      </c>
      <c r="E64" s="2">
        <f>Raw_Inventory_Data!E64</f>
        <v>261.24</v>
      </c>
      <c r="F64">
        <f>Raw_Inventory_Data!F64</f>
        <v>92</v>
      </c>
      <c r="G64" s="4">
        <f>Raw_Inventory_Data!G64</f>
        <v>13.8</v>
      </c>
      <c r="H64">
        <f>Raw_Inventory_Data!H64</f>
        <v>14</v>
      </c>
      <c r="I64">
        <f>Raw_Inventory_Data!I64</f>
        <v>1.1499999999999999</v>
      </c>
      <c r="J64">
        <f>Raw_Inventory_Data!J64</f>
        <v>30</v>
      </c>
      <c r="K64">
        <f>Raw_Inventory_Data!K64</f>
        <v>0</v>
      </c>
      <c r="L64" s="2">
        <f t="shared" si="7"/>
        <v>24034.080000000002</v>
      </c>
      <c r="M64" s="4">
        <f t="shared" si="8"/>
        <v>6.6666666666666661</v>
      </c>
      <c r="N64" s="4">
        <f t="shared" si="9"/>
        <v>22.443569234861016</v>
      </c>
      <c r="O64" s="4">
        <f t="shared" si="10"/>
        <v>50.043569234861017</v>
      </c>
      <c r="P64" s="4">
        <f t="shared" si="11"/>
        <v>64.400000000000006</v>
      </c>
      <c r="Q64" t="str">
        <f t="shared" si="12"/>
        <v>Monitor</v>
      </c>
      <c r="R64" t="str">
        <f t="shared" si="13"/>
        <v>OK</v>
      </c>
    </row>
    <row r="65" spans="1:18">
      <c r="A65" t="str">
        <f>Raw_Inventory_Data!A65</f>
        <v>PRI-BIR-163</v>
      </c>
      <c r="B65" t="str">
        <f>Raw_Inventory_Data!B65</f>
        <v>Printers</v>
      </c>
      <c r="C65" t="str">
        <f>Raw_Inventory_Data!C65</f>
        <v>PrintLogix</v>
      </c>
      <c r="D65" t="str">
        <f>Raw_Inventory_Data!D65</f>
        <v>Birmingham DC</v>
      </c>
      <c r="E65" s="2">
        <f>Raw_Inventory_Data!E65</f>
        <v>263.75</v>
      </c>
      <c r="F65">
        <f>Raw_Inventory_Data!F65</f>
        <v>69</v>
      </c>
      <c r="G65" s="4">
        <f>Raw_Inventory_Data!G65</f>
        <v>13.4</v>
      </c>
      <c r="H65">
        <f>Raw_Inventory_Data!H65</f>
        <v>18</v>
      </c>
      <c r="I65">
        <f>Raw_Inventory_Data!I65</f>
        <v>1.28</v>
      </c>
      <c r="J65">
        <f>Raw_Inventory_Data!J65</f>
        <v>60</v>
      </c>
      <c r="K65">
        <f>Raw_Inventory_Data!K65</f>
        <v>40</v>
      </c>
      <c r="L65" s="2">
        <f t="shared" si="7"/>
        <v>18198.75</v>
      </c>
      <c r="M65" s="4">
        <f t="shared" si="8"/>
        <v>8.1343283582089558</v>
      </c>
      <c r="N65" s="4">
        <f t="shared" si="9"/>
        <v>27.504388927691423</v>
      </c>
      <c r="O65" s="4">
        <f t="shared" si="10"/>
        <v>61.961531784834285</v>
      </c>
      <c r="P65" s="4">
        <f t="shared" si="11"/>
        <v>74.542857142857144</v>
      </c>
      <c r="Q65" t="str">
        <f t="shared" si="12"/>
        <v>Monitor</v>
      </c>
      <c r="R65" t="str">
        <f t="shared" si="13"/>
        <v>OK</v>
      </c>
    </row>
    <row r="66" spans="1:18">
      <c r="A66" t="str">
        <f>Raw_Inventory_Data!A66</f>
        <v>PRI-MAN-164</v>
      </c>
      <c r="B66" t="str">
        <f>Raw_Inventory_Data!B66</f>
        <v>Printers</v>
      </c>
      <c r="C66" t="str">
        <f>Raw_Inventory_Data!C66</f>
        <v>PrintLogix</v>
      </c>
      <c r="D66" t="str">
        <f>Raw_Inventory_Data!D66</f>
        <v>Manchester Hub</v>
      </c>
      <c r="E66" s="2">
        <f>Raw_Inventory_Data!E66</f>
        <v>250.89</v>
      </c>
      <c r="F66">
        <f>Raw_Inventory_Data!F66</f>
        <v>70</v>
      </c>
      <c r="G66" s="4">
        <f>Raw_Inventory_Data!G66</f>
        <v>13.2</v>
      </c>
      <c r="H66">
        <f>Raw_Inventory_Data!H66</f>
        <v>7</v>
      </c>
      <c r="I66">
        <f>Raw_Inventory_Data!I66</f>
        <v>1.4</v>
      </c>
      <c r="J66">
        <f>Raw_Inventory_Data!J66</f>
        <v>50</v>
      </c>
      <c r="K66">
        <f>Raw_Inventory_Data!K66</f>
        <v>30</v>
      </c>
      <c r="L66" s="2">
        <f t="shared" ref="L66:L73" si="14">E66*F66</f>
        <v>17562.3</v>
      </c>
      <c r="M66" s="4">
        <f t="shared" ref="M66:M73" si="15">IFERROR((F66+K66)/G66,0)</f>
        <v>7.5757575757575761</v>
      </c>
      <c r="N66" s="4">
        <f t="shared" ref="N66:N73" si="16">G66*SQRT(H66/7)*I66</f>
        <v>18.479999999999997</v>
      </c>
      <c r="O66" s="4">
        <f t="shared" ref="O66:O97" si="17">(G66*(H66/7))+N66</f>
        <v>31.679999999999996</v>
      </c>
      <c r="P66" s="4">
        <f t="shared" ref="P66:P73" si="18">(F66+K66)-(G66*(H66/7))</f>
        <v>86.8</v>
      </c>
      <c r="Q66" t="str">
        <f t="shared" ref="Q66:Q73" si="19">IF((F66+K66)&lt;=O66,"Reorder","Monitor")</f>
        <v>Monitor</v>
      </c>
      <c r="R66" t="str">
        <f t="shared" ref="R66:R73" si="20">IF(M66&gt;10,"Excess","OK")</f>
        <v>OK</v>
      </c>
    </row>
    <row r="67" spans="1:18">
      <c r="A67" t="str">
        <f>Raw_Inventory_Data!A67</f>
        <v>PRI-MAN-165</v>
      </c>
      <c r="B67" t="str">
        <f>Raw_Inventory_Data!B67</f>
        <v>Printers</v>
      </c>
      <c r="C67" t="str">
        <f>Raw_Inventory_Data!C67</f>
        <v>PrintLogix</v>
      </c>
      <c r="D67" t="str">
        <f>Raw_Inventory_Data!D67</f>
        <v>Manchester Hub</v>
      </c>
      <c r="E67" s="2">
        <f>Raw_Inventory_Data!E67</f>
        <v>232.26</v>
      </c>
      <c r="F67">
        <f>Raw_Inventory_Data!F67</f>
        <v>73</v>
      </c>
      <c r="G67" s="4">
        <f>Raw_Inventory_Data!G67</f>
        <v>13.5</v>
      </c>
      <c r="H67">
        <f>Raw_Inventory_Data!H67</f>
        <v>21</v>
      </c>
      <c r="I67">
        <f>Raw_Inventory_Data!I67</f>
        <v>1.1499999999999999</v>
      </c>
      <c r="J67">
        <f>Raw_Inventory_Data!J67</f>
        <v>60</v>
      </c>
      <c r="K67">
        <f>Raw_Inventory_Data!K67</f>
        <v>40</v>
      </c>
      <c r="L67" s="2">
        <f t="shared" si="14"/>
        <v>16954.98</v>
      </c>
      <c r="M67" s="4">
        <f t="shared" si="15"/>
        <v>8.3703703703703702</v>
      </c>
      <c r="N67" s="4">
        <f t="shared" si="16"/>
        <v>26.890088787506816</v>
      </c>
      <c r="O67" s="4">
        <f t="shared" si="17"/>
        <v>67.390088787506812</v>
      </c>
      <c r="P67" s="4">
        <f t="shared" si="18"/>
        <v>72.5</v>
      </c>
      <c r="Q67" t="str">
        <f t="shared" si="19"/>
        <v>Monitor</v>
      </c>
      <c r="R67" t="str">
        <f t="shared" si="20"/>
        <v>OK</v>
      </c>
    </row>
    <row r="68" spans="1:18">
      <c r="A68" t="str">
        <f>Raw_Inventory_Data!A68</f>
        <v>PRI-MAN-166</v>
      </c>
      <c r="B68" t="str">
        <f>Raw_Inventory_Data!B68</f>
        <v>Printers</v>
      </c>
      <c r="C68" t="str">
        <f>Raw_Inventory_Data!C68</f>
        <v>PrintLogix</v>
      </c>
      <c r="D68" t="str">
        <f>Raw_Inventory_Data!D68</f>
        <v>Manchester Hub</v>
      </c>
      <c r="E68" s="2">
        <f>Raw_Inventory_Data!E68</f>
        <v>260.18</v>
      </c>
      <c r="F68">
        <f>Raw_Inventory_Data!F68</f>
        <v>65</v>
      </c>
      <c r="G68" s="4">
        <f>Raw_Inventory_Data!G68</f>
        <v>11.9</v>
      </c>
      <c r="H68">
        <f>Raw_Inventory_Data!H68</f>
        <v>21</v>
      </c>
      <c r="I68">
        <f>Raw_Inventory_Data!I68</f>
        <v>1.4</v>
      </c>
      <c r="J68">
        <f>Raw_Inventory_Data!J68</f>
        <v>60</v>
      </c>
      <c r="K68">
        <f>Raw_Inventory_Data!K68</f>
        <v>20</v>
      </c>
      <c r="L68" s="2">
        <f t="shared" si="14"/>
        <v>16911.7</v>
      </c>
      <c r="M68" s="4">
        <f t="shared" si="15"/>
        <v>7.1428571428571423</v>
      </c>
      <c r="N68" s="4">
        <f t="shared" si="16"/>
        <v>28.855966454097491</v>
      </c>
      <c r="O68" s="4">
        <f t="shared" si="17"/>
        <v>64.555966454097501</v>
      </c>
      <c r="P68" s="4">
        <f t="shared" si="18"/>
        <v>49.3</v>
      </c>
      <c r="Q68" t="str">
        <f t="shared" si="19"/>
        <v>Monitor</v>
      </c>
      <c r="R68" t="str">
        <f t="shared" si="20"/>
        <v>OK</v>
      </c>
    </row>
    <row r="69" spans="1:18">
      <c r="A69" t="str">
        <f>Raw_Inventory_Data!A69</f>
        <v>PRI-MAN-167</v>
      </c>
      <c r="B69" t="str">
        <f>Raw_Inventory_Data!B69</f>
        <v>Printers</v>
      </c>
      <c r="C69" t="str">
        <f>Raw_Inventory_Data!C69</f>
        <v>PrintLogix</v>
      </c>
      <c r="D69" t="str">
        <f>Raw_Inventory_Data!D69</f>
        <v>Manchester Hub</v>
      </c>
      <c r="E69" s="2">
        <f>Raw_Inventory_Data!E69</f>
        <v>245.39</v>
      </c>
      <c r="F69">
        <f>Raw_Inventory_Data!F69</f>
        <v>69</v>
      </c>
      <c r="G69" s="4">
        <f>Raw_Inventory_Data!G69</f>
        <v>10.4</v>
      </c>
      <c r="H69">
        <f>Raw_Inventory_Data!H69</f>
        <v>14</v>
      </c>
      <c r="I69">
        <f>Raw_Inventory_Data!I69</f>
        <v>1.1499999999999999</v>
      </c>
      <c r="J69">
        <f>Raw_Inventory_Data!J69</f>
        <v>25</v>
      </c>
      <c r="K69">
        <f>Raw_Inventory_Data!K69</f>
        <v>0</v>
      </c>
      <c r="L69" s="2">
        <f t="shared" si="14"/>
        <v>16931.91</v>
      </c>
      <c r="M69" s="4">
        <f t="shared" si="15"/>
        <v>6.6346153846153841</v>
      </c>
      <c r="N69" s="4">
        <f t="shared" si="16"/>
        <v>16.913994205982217</v>
      </c>
      <c r="O69" s="4">
        <f t="shared" si="17"/>
        <v>37.713994205982218</v>
      </c>
      <c r="P69" s="4">
        <f t="shared" si="18"/>
        <v>48.2</v>
      </c>
      <c r="Q69" t="str">
        <f t="shared" si="19"/>
        <v>Monitor</v>
      </c>
      <c r="R69" t="str">
        <f t="shared" si="20"/>
        <v>OK</v>
      </c>
    </row>
    <row r="70" spans="1:18">
      <c r="A70" t="str">
        <f>Raw_Inventory_Data!A70</f>
        <v>PRI-LON-168</v>
      </c>
      <c r="B70" t="str">
        <f>Raw_Inventory_Data!B70</f>
        <v>Printers</v>
      </c>
      <c r="C70" t="str">
        <f>Raw_Inventory_Data!C70</f>
        <v>PrintLogix</v>
      </c>
      <c r="D70" t="str">
        <f>Raw_Inventory_Data!D70</f>
        <v>London Central</v>
      </c>
      <c r="E70" s="2">
        <f>Raw_Inventory_Data!E70</f>
        <v>235.35</v>
      </c>
      <c r="F70">
        <f>Raw_Inventory_Data!F70</f>
        <v>86</v>
      </c>
      <c r="G70" s="4">
        <f>Raw_Inventory_Data!G70</f>
        <v>13</v>
      </c>
      <c r="H70">
        <f>Raw_Inventory_Data!H70</f>
        <v>28</v>
      </c>
      <c r="I70">
        <f>Raw_Inventory_Data!I70</f>
        <v>1.4</v>
      </c>
      <c r="J70">
        <f>Raw_Inventory_Data!J70</f>
        <v>50</v>
      </c>
      <c r="K70">
        <f>Raw_Inventory_Data!K70</f>
        <v>40</v>
      </c>
      <c r="L70" s="2">
        <f t="shared" si="14"/>
        <v>20240.099999999999</v>
      </c>
      <c r="M70" s="4">
        <f t="shared" si="15"/>
        <v>9.6923076923076916</v>
      </c>
      <c r="N70" s="4">
        <f t="shared" si="16"/>
        <v>36.4</v>
      </c>
      <c r="O70" s="4">
        <f t="shared" si="17"/>
        <v>88.4</v>
      </c>
      <c r="P70" s="4">
        <f t="shared" si="18"/>
        <v>74</v>
      </c>
      <c r="Q70" t="str">
        <f t="shared" si="19"/>
        <v>Monitor</v>
      </c>
      <c r="R70" t="str">
        <f t="shared" si="20"/>
        <v>OK</v>
      </c>
    </row>
    <row r="71" spans="1:18">
      <c r="A71" t="str">
        <f>Raw_Inventory_Data!A71</f>
        <v>PRI-LON-169</v>
      </c>
      <c r="B71" t="str">
        <f>Raw_Inventory_Data!B71</f>
        <v>Printers</v>
      </c>
      <c r="C71" t="str">
        <f>Raw_Inventory_Data!C71</f>
        <v>PrintLogix</v>
      </c>
      <c r="D71" t="str">
        <f>Raw_Inventory_Data!D71</f>
        <v>London Central</v>
      </c>
      <c r="E71" s="2">
        <f>Raw_Inventory_Data!E71</f>
        <v>262.83999999999997</v>
      </c>
      <c r="F71">
        <f>Raw_Inventory_Data!F71</f>
        <v>48</v>
      </c>
      <c r="G71" s="4">
        <f>Raw_Inventory_Data!G71</f>
        <v>11.1</v>
      </c>
      <c r="H71">
        <f>Raw_Inventory_Data!H71</f>
        <v>14</v>
      </c>
      <c r="I71">
        <f>Raw_Inventory_Data!I71</f>
        <v>1.55</v>
      </c>
      <c r="J71">
        <f>Raw_Inventory_Data!J71</f>
        <v>40</v>
      </c>
      <c r="K71">
        <f>Raw_Inventory_Data!K71</f>
        <v>30</v>
      </c>
      <c r="L71" s="2">
        <f t="shared" si="14"/>
        <v>12616.32</v>
      </c>
      <c r="M71" s="4">
        <f t="shared" si="15"/>
        <v>7.0270270270270272</v>
      </c>
      <c r="N71" s="4">
        <f t="shared" si="16"/>
        <v>24.331544340629101</v>
      </c>
      <c r="O71" s="4">
        <f t="shared" si="17"/>
        <v>46.531544340629097</v>
      </c>
      <c r="P71" s="4">
        <f t="shared" si="18"/>
        <v>55.8</v>
      </c>
      <c r="Q71" t="str">
        <f t="shared" si="19"/>
        <v>Monitor</v>
      </c>
      <c r="R71" t="str">
        <f t="shared" si="20"/>
        <v>OK</v>
      </c>
    </row>
    <row r="72" spans="1:18">
      <c r="A72" t="str">
        <f>Raw_Inventory_Data!A72</f>
        <v>PRI-LON-170</v>
      </c>
      <c r="B72" t="str">
        <f>Raw_Inventory_Data!B72</f>
        <v>Printers</v>
      </c>
      <c r="C72" t="str">
        <f>Raw_Inventory_Data!C72</f>
        <v>PrintLogix</v>
      </c>
      <c r="D72" t="str">
        <f>Raw_Inventory_Data!D72</f>
        <v>London Central</v>
      </c>
      <c r="E72" s="2">
        <f>Raw_Inventory_Data!E72</f>
        <v>265.49</v>
      </c>
      <c r="F72">
        <f>Raw_Inventory_Data!F72</f>
        <v>48</v>
      </c>
      <c r="G72" s="4">
        <f>Raw_Inventory_Data!G72</f>
        <v>10.9</v>
      </c>
      <c r="H72">
        <f>Raw_Inventory_Data!H72</f>
        <v>28</v>
      </c>
      <c r="I72">
        <f>Raw_Inventory_Data!I72</f>
        <v>1.55</v>
      </c>
      <c r="J72">
        <f>Raw_Inventory_Data!J72</f>
        <v>50</v>
      </c>
      <c r="K72">
        <f>Raw_Inventory_Data!K72</f>
        <v>40</v>
      </c>
      <c r="L72" s="2">
        <f t="shared" si="14"/>
        <v>12743.52</v>
      </c>
      <c r="M72" s="4">
        <f t="shared" si="15"/>
        <v>8.0733944954128436</v>
      </c>
      <c r="N72" s="4">
        <f t="shared" si="16"/>
        <v>33.79</v>
      </c>
      <c r="O72" s="4">
        <f t="shared" si="17"/>
        <v>77.39</v>
      </c>
      <c r="P72" s="4">
        <f t="shared" si="18"/>
        <v>44.4</v>
      </c>
      <c r="Q72" t="str">
        <f t="shared" si="19"/>
        <v>Monitor</v>
      </c>
      <c r="R72" t="str">
        <f t="shared" si="20"/>
        <v>OK</v>
      </c>
    </row>
    <row r="73" spans="1:18">
      <c r="A73" t="str">
        <f>Raw_Inventory_Data!A73</f>
        <v>PRI-LON-171</v>
      </c>
      <c r="B73" t="str">
        <f>Raw_Inventory_Data!B73</f>
        <v>Printers</v>
      </c>
      <c r="C73" t="str">
        <f>Raw_Inventory_Data!C73</f>
        <v>PrintLogix</v>
      </c>
      <c r="D73" t="str">
        <f>Raw_Inventory_Data!D73</f>
        <v>London Central</v>
      </c>
      <c r="E73" s="2">
        <f>Raw_Inventory_Data!E73</f>
        <v>235.67</v>
      </c>
      <c r="F73">
        <f>Raw_Inventory_Data!F73</f>
        <v>43</v>
      </c>
      <c r="G73" s="4">
        <f>Raw_Inventory_Data!G73</f>
        <v>13.1</v>
      </c>
      <c r="H73">
        <f>Raw_Inventory_Data!H73</f>
        <v>10</v>
      </c>
      <c r="I73">
        <f>Raw_Inventory_Data!I73</f>
        <v>1.55</v>
      </c>
      <c r="J73">
        <f>Raw_Inventory_Data!J73</f>
        <v>60</v>
      </c>
      <c r="K73">
        <f>Raw_Inventory_Data!K73</f>
        <v>40</v>
      </c>
      <c r="L73" s="2">
        <f t="shared" si="14"/>
        <v>10133.81</v>
      </c>
      <c r="M73" s="4">
        <f t="shared" si="15"/>
        <v>6.33587786259542</v>
      </c>
      <c r="N73" s="4">
        <f t="shared" si="16"/>
        <v>24.269116912534862</v>
      </c>
      <c r="O73" s="4">
        <f t="shared" si="17"/>
        <v>42.983402626820578</v>
      </c>
      <c r="P73" s="4">
        <f t="shared" si="18"/>
        <v>64.285714285714278</v>
      </c>
      <c r="Q73" t="str">
        <f t="shared" si="19"/>
        <v>Monitor</v>
      </c>
      <c r="R73" t="str">
        <f t="shared" si="20"/>
        <v>OK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4.25"/>
  <cols>
    <col min="1" max="1" width="22.375" bestFit="1" customWidth="1"/>
    <col min="2" max="2" width="12.375" bestFit="1" customWidth="1"/>
  </cols>
  <sheetData>
    <row r="1" spans="1:2" ht="15">
      <c r="A1" s="1" t="s">
        <v>110</v>
      </c>
      <c r="B1" s="1" t="s">
        <v>111</v>
      </c>
    </row>
    <row r="2" spans="1:2">
      <c r="A2" t="s">
        <v>112</v>
      </c>
      <c r="B2" s="2">
        <f>SUM(Reorder_Model!L:L)</f>
        <v>1839629.57</v>
      </c>
    </row>
    <row r="3" spans="1:2">
      <c r="A3" t="s">
        <v>113</v>
      </c>
      <c r="B3" s="3">
        <f>COUNTA(Reorder_Model!A:A)-1</f>
        <v>72</v>
      </c>
    </row>
    <row r="4" spans="1:2">
      <c r="A4" t="s">
        <v>114</v>
      </c>
      <c r="B4" s="4">
        <f>AVERAGE(Reorder_Model!M:M)</f>
        <v>6.2650020837121714</v>
      </c>
    </row>
    <row r="5" spans="1:2">
      <c r="A5" t="s">
        <v>115</v>
      </c>
      <c r="B5" s="3">
        <f>COUNTIF(Reorder_Model!Q:Q,"Reorder")</f>
        <v>14</v>
      </c>
    </row>
    <row r="6" spans="1:2">
      <c r="A6" t="s">
        <v>116</v>
      </c>
      <c r="B6" s="3">
        <f>COUNTIF(Reorder_Model!R:R,"Excess")</f>
        <v>0</v>
      </c>
    </row>
    <row r="7" spans="1:2">
      <c r="A7" t="s">
        <v>117</v>
      </c>
      <c r="B7" s="2">
        <f>MAX(Analysis!B2:B7)</f>
        <v>552587.07000000007</v>
      </c>
    </row>
    <row r="8" spans="1:2">
      <c r="A8" t="s">
        <v>118</v>
      </c>
      <c r="B8" s="2">
        <f>MAX(Analysis!G2:G4)</f>
        <v>622753.39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7"/>
  <sheetViews>
    <sheetView workbookViewId="0">
      <selection activeCell="F9" sqref="F9"/>
    </sheetView>
  </sheetViews>
  <sheetFormatPr defaultRowHeight="14.25"/>
  <cols>
    <col min="1" max="1" width="12.375" customWidth="1"/>
    <col min="2" max="2" width="16.875" customWidth="1"/>
    <col min="3" max="3" width="23.25" customWidth="1"/>
    <col min="4" max="4" width="14.625" customWidth="1"/>
    <col min="5" max="5" width="0" hidden="1" customWidth="1"/>
    <col min="6" max="6" width="18" customWidth="1"/>
    <col min="7" max="7" width="16.875" customWidth="1"/>
    <col min="8" max="8" width="14.625" customWidth="1"/>
  </cols>
  <sheetData>
    <row r="1" spans="1:18" ht="15">
      <c r="A1" s="37" t="s">
        <v>1</v>
      </c>
      <c r="B1" s="37" t="s">
        <v>119</v>
      </c>
      <c r="C1" s="37" t="s">
        <v>114</v>
      </c>
      <c r="D1" s="37" t="s">
        <v>120</v>
      </c>
      <c r="E1" s="39"/>
      <c r="F1" s="37" t="s">
        <v>3</v>
      </c>
      <c r="G1" s="37" t="s">
        <v>119</v>
      </c>
      <c r="H1" s="37" t="s">
        <v>120</v>
      </c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>
      <c r="A2" s="23" t="s">
        <v>13</v>
      </c>
      <c r="B2" s="33">
        <f>SUMIFS(Reorder_Model!L:L,Reorder_Model!B:B,A2)</f>
        <v>552587.07000000007</v>
      </c>
      <c r="C2" s="35">
        <f>IFERROR(SUMIFS(Reorder_Model!M:M,Reorder_Model!B:B,A2)/COUNTIF(Reorder_Model!B:B,A2),0)</f>
        <v>6.0428458924111625</v>
      </c>
      <c r="D2" s="34">
        <f>COUNTIFS(Reorder_Model!B:B,A2,Reorder_Model!Q:Q,"Reorder")</f>
        <v>2</v>
      </c>
      <c r="E2" s="23"/>
      <c r="F2" s="92" t="s">
        <v>15</v>
      </c>
      <c r="G2" s="93">
        <f>SUMIFS(Reorder_Model!L:L,Reorder_Model!D:D,F2)</f>
        <v>613435.55999999994</v>
      </c>
      <c r="H2" s="94">
        <f>COUNTIFS(Reorder_Model!D:D,F2,Reorder_Model!Q:Q,"Reorder")</f>
        <v>7</v>
      </c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>
      <c r="A3" s="23" t="s">
        <v>30</v>
      </c>
      <c r="B3" s="33">
        <f>SUMIFS(Reorder_Model!L:L,Reorder_Model!B:B,A3)</f>
        <v>302225.87</v>
      </c>
      <c r="C3" s="35">
        <f>IFERROR(SUMIFS(Reorder_Model!M:M,Reorder_Model!B:B,A3)/COUNTIF(Reorder_Model!B:B,A3),0)</f>
        <v>5.652279599519157</v>
      </c>
      <c r="D3" s="34">
        <f>COUNTIFS(Reorder_Model!B:B,A3,Reorder_Model!Q:Q,"Reorder")</f>
        <v>2</v>
      </c>
      <c r="E3" s="23"/>
      <c r="F3" s="92" t="s">
        <v>20</v>
      </c>
      <c r="G3" s="93">
        <f>SUMIFS(Reorder_Model!L:L,Reorder_Model!D:D,F3)</f>
        <v>622753.39</v>
      </c>
      <c r="H3" s="94">
        <f>COUNTIFS(Reorder_Model!D:D,F3,Reorder_Model!Q:Q,"Reorder")</f>
        <v>2</v>
      </c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>
      <c r="A4" t="s">
        <v>44</v>
      </c>
      <c r="B4" s="2">
        <f>SUMIFS(Reorder_Model!L:L,Reorder_Model!B:B,A4)</f>
        <v>540486.81000000006</v>
      </c>
      <c r="C4" s="4">
        <f>IFERROR(SUMIFS(Reorder_Model!M:M,Reorder_Model!B:B,A4)/COUNTIF(Reorder_Model!B:B,A4),0)</f>
        <v>6.8806213169408439</v>
      </c>
      <c r="D4" s="3">
        <f>COUNTIFS(Reorder_Model!B:B,A4,Reorder_Model!Q:Q,"Reorder")</f>
        <v>2</v>
      </c>
      <c r="F4" s="95" t="s">
        <v>25</v>
      </c>
      <c r="G4" s="96">
        <f>SUMIFS(Reorder_Model!L:L,Reorder_Model!D:D,F4)</f>
        <v>603440.62000000011</v>
      </c>
      <c r="H4" s="97">
        <f>COUNTIFS(Reorder_Model!D:D,F4,Reorder_Model!Q:Q,"Reorder")</f>
        <v>5</v>
      </c>
    </row>
    <row r="5" spans="1:18">
      <c r="A5" t="s">
        <v>58</v>
      </c>
      <c r="B5" s="2">
        <f>SUMIFS(Reorder_Model!L:L,Reorder_Model!B:B,A5)</f>
        <v>81020.519999999975</v>
      </c>
      <c r="C5" s="4">
        <f>IFERROR(SUMIFS(Reorder_Model!M:M,Reorder_Model!B:B,A5)/COUNTIF(Reorder_Model!B:B,A5),0)</f>
        <v>5.3936379985762217</v>
      </c>
      <c r="D5" s="3">
        <f>COUNTIFS(Reorder_Model!B:B,A5,Reorder_Model!Q:Q,"Reorder")</f>
        <v>3</v>
      </c>
      <c r="F5" s="95" t="s">
        <v>189</v>
      </c>
      <c r="G5" s="95" t="s">
        <v>189</v>
      </c>
      <c r="H5" s="95" t="s">
        <v>189</v>
      </c>
    </row>
    <row r="6" spans="1:18">
      <c r="A6" t="s">
        <v>72</v>
      </c>
      <c r="B6" s="2">
        <f>SUMIFS(Reorder_Model!L:L,Reorder_Model!B:B,A6)</f>
        <v>167045.87</v>
      </c>
      <c r="C6" s="4">
        <f>IFERROR(SUMIFS(Reorder_Model!M:M,Reorder_Model!B:B,A6)/COUNTIF(Reorder_Model!B:B,A6),0)</f>
        <v>6.4654997023962686</v>
      </c>
      <c r="D6" s="3">
        <f>COUNTIFS(Reorder_Model!B:B,A6,Reorder_Model!Q:Q,"Reorder")</f>
        <v>4</v>
      </c>
      <c r="F6" s="95" t="s">
        <v>189</v>
      </c>
      <c r="G6" s="95" t="s">
        <v>189</v>
      </c>
      <c r="H6" s="95" t="s">
        <v>189</v>
      </c>
    </row>
    <row r="7" spans="1:18">
      <c r="A7" t="s">
        <v>86</v>
      </c>
      <c r="B7" s="2">
        <f>SUMIFS(Reorder_Model!L:L,Reorder_Model!B:B,A7)</f>
        <v>196263.43</v>
      </c>
      <c r="C7" s="4">
        <f>IFERROR(SUMIFS(Reorder_Model!M:M,Reorder_Model!B:B,A7)/COUNTIF(Reorder_Model!B:B,A7),0)</f>
        <v>7.1551279924293683</v>
      </c>
      <c r="D7" s="3">
        <f>COUNTIFS(Reorder_Model!B:B,A7,Reorder_Model!Q:Q,"Reorder")</f>
        <v>1</v>
      </c>
      <c r="F7" s="95" t="s">
        <v>189</v>
      </c>
      <c r="G7" s="95" t="s">
        <v>189</v>
      </c>
      <c r="H7" s="95" t="s">
        <v>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7"/>
  <sheetViews>
    <sheetView workbookViewId="0">
      <selection activeCell="B8" sqref="B8"/>
    </sheetView>
  </sheetViews>
  <sheetFormatPr defaultRowHeight="14.25"/>
  <cols>
    <col min="1" max="1" width="27.75" customWidth="1"/>
    <col min="2" max="2" width="38.125" customWidth="1"/>
    <col min="3" max="3" width="17.625" customWidth="1"/>
    <col min="4" max="4" width="12.375" customWidth="1"/>
    <col min="5" max="5" width="24.125" customWidth="1"/>
    <col min="6" max="6" width="24.375" customWidth="1"/>
    <col min="7" max="7" width="18.75" customWidth="1"/>
    <col min="8" max="8" width="18.875" customWidth="1"/>
    <col min="9" max="9" width="7.375" customWidth="1"/>
  </cols>
  <sheetData>
    <row r="1" spans="1:18" ht="15">
      <c r="A1" s="37" t="s">
        <v>121</v>
      </c>
      <c r="B1" s="37" t="s">
        <v>111</v>
      </c>
      <c r="D1" s="37" t="s">
        <v>1</v>
      </c>
      <c r="E1" s="37" t="s">
        <v>122</v>
      </c>
      <c r="F1" s="37" t="s">
        <v>123</v>
      </c>
      <c r="G1" s="37" t="s">
        <v>124</v>
      </c>
      <c r="H1" s="37" t="s">
        <v>125</v>
      </c>
      <c r="I1" s="37" t="s">
        <v>126</v>
      </c>
      <c r="J1" s="23"/>
      <c r="K1" s="23"/>
      <c r="L1" s="23"/>
      <c r="M1" s="23"/>
      <c r="N1" s="23"/>
      <c r="O1" s="23"/>
      <c r="P1" s="23"/>
      <c r="Q1" s="23"/>
      <c r="R1" s="23"/>
    </row>
    <row r="2" spans="1:18">
      <c r="A2" s="23" t="s">
        <v>127</v>
      </c>
      <c r="B2" s="40">
        <v>0.1</v>
      </c>
      <c r="C2" s="40"/>
      <c r="D2" s="23" t="s">
        <v>13</v>
      </c>
      <c r="E2" s="34">
        <f>COUNTIFS(Reorder_Model!B:B,D2,Reorder_Model!Q:Q,"Reorder")</f>
        <v>2</v>
      </c>
      <c r="F2" s="34">
        <f t="shared" ref="F2:F7" si="0">ROUND(E2*(1+$B$2)+($B$3/3),0)</f>
        <v>3</v>
      </c>
      <c r="G2" s="35">
        <f>IFERROR(SUMIFS(Reorder_Model!O:O,Reorder_Model!B:B,D2)/COUNTIF(Reorder_Model!B:B,D2),0)</f>
        <v>86.348629592730347</v>
      </c>
      <c r="H2" s="35">
        <f>G2*(1+$B$2)+(($B$3/7)*(SUMIFS(Reorder_Model!G:G,Reorder_Model!B:B,D2)/COUNTIF(Reorder_Model!B:B,D2)))</f>
        <v>104.20492112343196</v>
      </c>
      <c r="I2" s="34">
        <f t="shared" ref="I2:I7" si="1">F2-E2</f>
        <v>1</v>
      </c>
      <c r="J2" s="23"/>
      <c r="K2" s="23"/>
      <c r="L2" s="23"/>
      <c r="M2" s="23"/>
      <c r="N2" s="23"/>
      <c r="O2" s="23"/>
      <c r="P2" s="23"/>
      <c r="Q2" s="23"/>
      <c r="R2" s="23"/>
    </row>
    <row r="3" spans="1:18">
      <c r="A3" s="23" t="s">
        <v>128</v>
      </c>
      <c r="B3" s="23">
        <v>3</v>
      </c>
      <c r="C3" s="23"/>
      <c r="D3" s="23" t="s">
        <v>30</v>
      </c>
      <c r="E3" s="34">
        <f>COUNTIFS(Reorder_Model!B:B,D3,Reorder_Model!Q:Q,"Reorder")</f>
        <v>2</v>
      </c>
      <c r="F3" s="34">
        <f t="shared" si="0"/>
        <v>3</v>
      </c>
      <c r="G3" s="35">
        <f>IFERROR(SUMIFS(Reorder_Model!O:O,Reorder_Model!B:B,D3)/COUNTIF(Reorder_Model!B:B,D3),0)</f>
        <v>65.640216307295475</v>
      </c>
      <c r="H3" s="35">
        <f>G3*(1+$B$2)+(($B$3/7)*(SUMIFS(Reorder_Model!G:G,Reorder_Model!B:B,D3)/COUNTIF(Reorder_Model!B:B,D3)))</f>
        <v>80.179237938025025</v>
      </c>
      <c r="I3" s="34">
        <f t="shared" si="1"/>
        <v>1</v>
      </c>
      <c r="J3" s="23"/>
      <c r="K3" s="23"/>
      <c r="L3" s="23"/>
      <c r="M3" s="23"/>
      <c r="N3" s="23"/>
      <c r="O3" s="23"/>
      <c r="P3" s="23"/>
      <c r="Q3" s="23"/>
      <c r="R3" s="23"/>
    </row>
    <row r="4" spans="1:18">
      <c r="D4" t="s">
        <v>44</v>
      </c>
      <c r="E4" s="3">
        <f>COUNTIFS(Reorder_Model!B:B,D4,Reorder_Model!Q:Q,"Reorder")</f>
        <v>2</v>
      </c>
      <c r="F4" s="3">
        <f t="shared" si="0"/>
        <v>3</v>
      </c>
      <c r="G4" s="4">
        <f>IFERROR(SUMIFS(Reorder_Model!O:O,Reorder_Model!B:B,D4)/COUNTIF(Reorder_Model!B:B,D4),0)</f>
        <v>92.83308657689939</v>
      </c>
      <c r="H4" s="4">
        <f>G4*(1+$B$2)+(($B$3/7)*(SUMIFS(Reorder_Model!G:G,Reorder_Model!B:B,D4)/COUNTIF(Reorder_Model!B:B,D4)))</f>
        <v>111.21996666316076</v>
      </c>
      <c r="I4" s="3">
        <f t="shared" si="1"/>
        <v>1</v>
      </c>
    </row>
    <row r="5" spans="1:18">
      <c r="D5" t="s">
        <v>58</v>
      </c>
      <c r="E5" s="3">
        <f>COUNTIFS(Reorder_Model!B:B,D5,Reorder_Model!Q:Q,"Reorder")</f>
        <v>3</v>
      </c>
      <c r="F5" s="3">
        <f t="shared" si="0"/>
        <v>4</v>
      </c>
      <c r="G5" s="4">
        <f>IFERROR(SUMIFS(Reorder_Model!O:O,Reorder_Model!B:B,D5)/COUNTIF(Reorder_Model!B:B,D5),0)</f>
        <v>150.62479288011176</v>
      </c>
      <c r="H5" s="4">
        <f>G5*(1+$B$2)+(($B$3/7)*(SUMIFS(Reorder_Model!G:G,Reorder_Model!B:B,D5)/COUNTIF(Reorder_Model!B:B,D5)))</f>
        <v>179.96227216812295</v>
      </c>
      <c r="I5" s="3">
        <f t="shared" si="1"/>
        <v>1</v>
      </c>
    </row>
    <row r="6" spans="1:18">
      <c r="D6" t="s">
        <v>72</v>
      </c>
      <c r="E6" s="3">
        <f>COUNTIFS(Reorder_Model!B:B,D6,Reorder_Model!Q:Q,"Reorder")</f>
        <v>4</v>
      </c>
      <c r="F6" s="3">
        <f t="shared" si="0"/>
        <v>5</v>
      </c>
      <c r="G6" s="4">
        <f>IFERROR(SUMIFS(Reorder_Model!O:O,Reorder_Model!B:B,D6)/COUNTIF(Reorder_Model!B:B,D6),0)</f>
        <v>75.020152649104389</v>
      </c>
      <c r="H6" s="4">
        <f>G6*(1+$B$2)+(($B$3/7)*(SUMIFS(Reorder_Model!G:G,Reorder_Model!B:B,D6)/COUNTIF(Reorder_Model!B:B,D6)))</f>
        <v>89.307882199729121</v>
      </c>
      <c r="I6" s="3">
        <f t="shared" si="1"/>
        <v>1</v>
      </c>
    </row>
    <row r="7" spans="1:18">
      <c r="D7" t="s">
        <v>86</v>
      </c>
      <c r="E7" s="3">
        <f>COUNTIFS(Reorder_Model!B:B,D7,Reorder_Model!Q:Q,"Reorder")</f>
        <v>1</v>
      </c>
      <c r="F7" s="3">
        <f t="shared" si="0"/>
        <v>2</v>
      </c>
      <c r="G7" s="4">
        <f>IFERROR(SUMIFS(Reorder_Model!O:O,Reorder_Model!B:B,D7)/COUNTIF(Reorder_Model!B:B,D7),0)</f>
        <v>57.53553175981898</v>
      </c>
      <c r="H7" s="4">
        <f>G7*(1+$B$2)+(($B$3/7)*(SUMIFS(Reorder_Model!G:G,Reorder_Model!B:B,D7)/COUNTIF(Reorder_Model!B:B,D7)))</f>
        <v>68.581942078658031</v>
      </c>
      <c r="I7" s="3">
        <f t="shared" si="1"/>
        <v>1</v>
      </c>
    </row>
  </sheetData>
  <dataValidations count="2">
    <dataValidation type="decimal" sqref="B2:C2" xr:uid="{00000000-0002-0000-0600-000000000000}">
      <formula1>0</formula1>
      <formula2>0.5</formula2>
    </dataValidation>
    <dataValidation type="whole" sqref="B3:C3" xr:uid="{00000000-0002-0000-0600-000001000000}">
      <formula1>0</formula1>
      <formula2>14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5"/>
  <sheetViews>
    <sheetView workbookViewId="0">
      <selection activeCell="G34" sqref="G34"/>
    </sheetView>
  </sheetViews>
  <sheetFormatPr defaultRowHeight="14.25"/>
  <cols>
    <col min="2" max="2" width="13.875" customWidth="1"/>
    <col min="3" max="3" width="14.625" customWidth="1"/>
    <col min="4" max="4" width="14.5" customWidth="1"/>
    <col min="5" max="5" width="22.375" customWidth="1"/>
    <col min="7" max="7" width="17.5" customWidth="1"/>
    <col min="8" max="8" width="24.625" customWidth="1"/>
    <col min="10" max="10" width="13.125" customWidth="1"/>
  </cols>
  <sheetData>
    <row r="1" spans="1:10" ht="20.25">
      <c r="A1" s="50" t="s">
        <v>130</v>
      </c>
      <c r="B1" s="50"/>
      <c r="C1" s="50"/>
      <c r="D1" s="50"/>
      <c r="E1" s="50"/>
      <c r="F1" s="50"/>
      <c r="G1" s="50"/>
      <c r="H1" s="50"/>
      <c r="I1" s="50"/>
      <c r="J1" s="50"/>
    </row>
    <row r="2" spans="1:10">
      <c r="A2" s="51" t="s">
        <v>131</v>
      </c>
      <c r="B2" s="51"/>
      <c r="C2" s="51"/>
      <c r="D2" s="51"/>
      <c r="E2" s="51"/>
      <c r="F2" s="51"/>
      <c r="G2" s="51"/>
      <c r="H2" s="51"/>
      <c r="I2" s="51"/>
      <c r="J2" s="51"/>
    </row>
    <row r="3" spans="1:10" ht="15">
      <c r="A3" s="1"/>
      <c r="B3" s="1"/>
      <c r="D3" s="6"/>
      <c r="E3" s="6"/>
      <c r="F3" s="6"/>
      <c r="H3" s="8"/>
      <c r="I3" s="8"/>
      <c r="J3" s="8"/>
    </row>
    <row r="4" spans="1:10">
      <c r="A4" s="52" t="s">
        <v>119</v>
      </c>
      <c r="B4" s="53"/>
      <c r="C4" s="54"/>
      <c r="D4" s="64" t="s">
        <v>132</v>
      </c>
      <c r="E4" s="53"/>
      <c r="F4" s="65"/>
      <c r="G4" s="74" t="s">
        <v>114</v>
      </c>
      <c r="H4" s="75"/>
      <c r="I4" s="53"/>
      <c r="J4" s="76"/>
    </row>
    <row r="5" spans="1:10">
      <c r="A5" s="55"/>
      <c r="B5" s="56"/>
      <c r="C5" s="57"/>
      <c r="D5" s="55"/>
      <c r="E5" s="66"/>
      <c r="F5" s="67"/>
      <c r="G5" s="55"/>
      <c r="H5" s="77"/>
      <c r="I5" s="66"/>
      <c r="J5" s="78"/>
    </row>
    <row r="6" spans="1:10">
      <c r="A6" s="58">
        <f>KPIs!B2</f>
        <v>1839629.57</v>
      </c>
      <c r="B6" s="59"/>
      <c r="C6" s="60"/>
      <c r="D6" s="68">
        <f>KPIs!B5</f>
        <v>14</v>
      </c>
      <c r="E6" s="69"/>
      <c r="F6" s="70"/>
      <c r="G6" s="79">
        <f>KPIs!B4</f>
        <v>6.2650020837121714</v>
      </c>
      <c r="H6" s="80"/>
      <c r="I6" s="80"/>
      <c r="J6" s="81"/>
    </row>
    <row r="7" spans="1:10">
      <c r="A7" s="61"/>
      <c r="B7" s="62"/>
      <c r="C7" s="63"/>
      <c r="D7" s="71"/>
      <c r="E7" s="72"/>
      <c r="F7" s="73"/>
      <c r="G7" s="82"/>
      <c r="H7" s="83"/>
      <c r="I7" s="83"/>
      <c r="J7" s="84"/>
    </row>
    <row r="8" spans="1:10">
      <c r="E8" s="2"/>
      <c r="F8" s="4"/>
    </row>
    <row r="9" spans="1:10" ht="15">
      <c r="A9" s="100" t="s">
        <v>133</v>
      </c>
      <c r="B9" s="98"/>
      <c r="C9" s="98"/>
      <c r="D9" s="98"/>
      <c r="E9" s="99"/>
      <c r="F9" s="49"/>
      <c r="G9" s="100" t="s">
        <v>134</v>
      </c>
      <c r="H9" s="98"/>
      <c r="I9" s="98"/>
      <c r="J9" s="98"/>
    </row>
    <row r="10" spans="1:10" ht="15">
      <c r="A10" s="41" t="s">
        <v>1</v>
      </c>
      <c r="B10" s="41" t="s">
        <v>119</v>
      </c>
      <c r="C10" s="41" t="s">
        <v>135</v>
      </c>
      <c r="D10" s="41" t="s">
        <v>120</v>
      </c>
      <c r="E10" s="41" t="s">
        <v>129</v>
      </c>
      <c r="F10" s="46"/>
      <c r="G10" s="48" t="s">
        <v>3</v>
      </c>
      <c r="H10" s="48" t="s">
        <v>119</v>
      </c>
      <c r="I10" s="48" t="s">
        <v>120</v>
      </c>
      <c r="J10" s="48" t="s">
        <v>136</v>
      </c>
    </row>
    <row r="11" spans="1:10">
      <c r="A11" s="42" t="str">
        <f>Analysis!A2</f>
        <v>Laptops</v>
      </c>
      <c r="B11">
        <f>Analysis!B2</f>
        <v>552587.07000000007</v>
      </c>
      <c r="C11">
        <f>Analysis!C2</f>
        <v>6.0428458924111625</v>
      </c>
      <c r="D11">
        <f>Analysis!D2</f>
        <v>2</v>
      </c>
      <c r="E11" s="42" t="s">
        <v>137</v>
      </c>
      <c r="F11" s="46"/>
      <c r="G11" s="42" t="str">
        <f>Analysis!F2</f>
        <v>Birmingham DC</v>
      </c>
      <c r="H11" s="43">
        <f>Analysis!G2</f>
        <v>613435.55999999994</v>
      </c>
      <c r="I11" s="45">
        <f>Analysis!H2</f>
        <v>7</v>
      </c>
      <c r="J11" s="42" t="s">
        <v>138</v>
      </c>
    </row>
    <row r="12" spans="1:10">
      <c r="A12" s="42" t="str">
        <f>Analysis!A3</f>
        <v>Tablets</v>
      </c>
      <c r="B12">
        <f>Analysis!B3</f>
        <v>302225.87</v>
      </c>
      <c r="C12">
        <f>Analysis!C3</f>
        <v>5.652279599519157</v>
      </c>
      <c r="D12">
        <f>Analysis!D3</f>
        <v>2</v>
      </c>
      <c r="E12" s="42" t="s">
        <v>139</v>
      </c>
      <c r="F12" s="46"/>
      <c r="G12" s="42" t="str">
        <f>Analysis!F3</f>
        <v>Manchester Hub</v>
      </c>
      <c r="H12" s="43">
        <f>Analysis!G3</f>
        <v>622753.39</v>
      </c>
      <c r="I12" s="45">
        <f>Analysis!H3</f>
        <v>2</v>
      </c>
      <c r="J12" s="42" t="s">
        <v>140</v>
      </c>
    </row>
    <row r="13" spans="1:10">
      <c r="A13" s="42" t="str">
        <f>Analysis!A4</f>
        <v>Phones</v>
      </c>
      <c r="B13">
        <f>Analysis!B4</f>
        <v>540486.81000000006</v>
      </c>
      <c r="C13">
        <f>Analysis!C4</f>
        <v>6.8806213169408439</v>
      </c>
      <c r="D13">
        <f>Analysis!D4</f>
        <v>2</v>
      </c>
      <c r="E13" s="42" t="s">
        <v>141</v>
      </c>
      <c r="F13" s="46"/>
      <c r="G13" s="42" t="str">
        <f>Analysis!F4</f>
        <v>London Central</v>
      </c>
      <c r="H13" s="43">
        <f>Analysis!G4</f>
        <v>603440.62000000011</v>
      </c>
      <c r="I13" s="45">
        <f>Analysis!H4</f>
        <v>5</v>
      </c>
      <c r="J13" s="42" t="s">
        <v>142</v>
      </c>
    </row>
    <row r="14" spans="1:10">
      <c r="A14" s="42" t="str">
        <f>Analysis!A5</f>
        <v>Accessories</v>
      </c>
      <c r="B14">
        <f>Analysis!B5</f>
        <v>81020.519999999975</v>
      </c>
      <c r="C14">
        <f>Analysis!C5</f>
        <v>5.3936379985762217</v>
      </c>
      <c r="D14">
        <f>Analysis!D5</f>
        <v>3</v>
      </c>
      <c r="E14" s="42" t="s">
        <v>143</v>
      </c>
      <c r="F14" s="46"/>
      <c r="G14" s="46"/>
      <c r="H14" s="46"/>
      <c r="I14" s="46"/>
      <c r="J14" s="46"/>
    </row>
    <row r="15" spans="1:10">
      <c r="A15" s="42" t="str">
        <f>Analysis!A6</f>
        <v>Monitors</v>
      </c>
      <c r="B15">
        <f>Analysis!B6</f>
        <v>167045.87</v>
      </c>
      <c r="C15">
        <f>Analysis!C6</f>
        <v>6.4654997023962686</v>
      </c>
      <c r="D15">
        <f>Analysis!D6</f>
        <v>4</v>
      </c>
      <c r="E15" s="42" t="s">
        <v>144</v>
      </c>
      <c r="F15" s="46"/>
      <c r="G15" s="46"/>
      <c r="H15" s="46"/>
      <c r="I15" s="46"/>
      <c r="J15" s="46"/>
    </row>
    <row r="16" spans="1:10">
      <c r="A16" s="42" t="str">
        <f>Analysis!A7</f>
        <v>Printers</v>
      </c>
      <c r="B16">
        <f>Analysis!B7</f>
        <v>196263.43</v>
      </c>
      <c r="C16">
        <f>Analysis!C7</f>
        <v>7.1551279924293683</v>
      </c>
      <c r="D16">
        <f>Analysis!D7</f>
        <v>1</v>
      </c>
      <c r="E16" s="42" t="s">
        <v>145</v>
      </c>
      <c r="F16" s="46"/>
      <c r="G16" s="46"/>
      <c r="H16" s="46"/>
      <c r="I16" s="46"/>
      <c r="J16" s="46"/>
    </row>
    <row r="17" spans="1:10">
      <c r="A17" s="46"/>
      <c r="B17" s="46"/>
      <c r="C17" s="46"/>
      <c r="D17" s="46"/>
      <c r="E17" s="46"/>
      <c r="F17" s="46"/>
      <c r="G17" s="46"/>
      <c r="H17" s="46"/>
      <c r="I17" s="46"/>
      <c r="J17" s="46"/>
    </row>
    <row r="18" spans="1:10" ht="15">
      <c r="A18" s="98" t="s">
        <v>146</v>
      </c>
      <c r="B18" s="98"/>
      <c r="C18" s="98"/>
      <c r="D18" s="98"/>
      <c r="E18" s="98"/>
      <c r="F18" s="98"/>
      <c r="G18" s="98"/>
      <c r="H18" s="98"/>
      <c r="I18" s="98"/>
      <c r="J18" s="98"/>
    </row>
    <row r="19" spans="1:10" ht="15">
      <c r="A19" s="47" t="s">
        <v>1</v>
      </c>
      <c r="B19" s="47" t="s">
        <v>147</v>
      </c>
      <c r="C19" s="47" t="s">
        <v>148</v>
      </c>
      <c r="D19" s="47" t="s">
        <v>124</v>
      </c>
      <c r="E19" s="47" t="s">
        <v>125</v>
      </c>
      <c r="F19" s="47" t="s">
        <v>126</v>
      </c>
      <c r="G19" s="47" t="s">
        <v>149</v>
      </c>
      <c r="H19" s="47" t="s">
        <v>150</v>
      </c>
      <c r="I19" s="47" t="s">
        <v>151</v>
      </c>
      <c r="J19" s="47" t="s">
        <v>152</v>
      </c>
    </row>
    <row r="20" spans="1:10">
      <c r="A20" s="42" t="str">
        <f>Scenario_Model!D2</f>
        <v>Laptops</v>
      </c>
      <c r="B20" s="45">
        <f>Scenario_Model!E2</f>
        <v>2</v>
      </c>
      <c r="C20" s="45">
        <f>Scenario_Model!F2</f>
        <v>3</v>
      </c>
      <c r="D20" s="44">
        <f>Scenario_Model!G2</f>
        <v>86.348629592730347</v>
      </c>
      <c r="E20" s="44">
        <f>Scenario_Model!H2</f>
        <v>104.20492112343196</v>
      </c>
      <c r="F20" s="45">
        <f>Scenario_Model!I2</f>
        <v>1</v>
      </c>
      <c r="G20" s="42" t="s">
        <v>153</v>
      </c>
      <c r="H20" s="42" t="s">
        <v>154</v>
      </c>
      <c r="I20" s="42" t="s">
        <v>155</v>
      </c>
      <c r="J20" s="42" t="s">
        <v>156</v>
      </c>
    </row>
    <row r="21" spans="1:10">
      <c r="A21" s="42" t="str">
        <f>Scenario_Model!D3</f>
        <v>Tablets</v>
      </c>
      <c r="B21" s="45">
        <f>Scenario_Model!E3</f>
        <v>2</v>
      </c>
      <c r="C21" s="45">
        <f>Scenario_Model!F3</f>
        <v>3</v>
      </c>
      <c r="D21" s="44">
        <f>Scenario_Model!G3</f>
        <v>65.640216307295475</v>
      </c>
      <c r="E21" s="44">
        <f>Scenario_Model!H3</f>
        <v>80.179237938025025</v>
      </c>
      <c r="F21" s="45">
        <f>Scenario_Model!I3</f>
        <v>1</v>
      </c>
      <c r="G21" s="42" t="s">
        <v>157</v>
      </c>
      <c r="H21" s="42" t="s">
        <v>158</v>
      </c>
      <c r="I21" s="42" t="s">
        <v>155</v>
      </c>
      <c r="J21" s="42" t="s">
        <v>159</v>
      </c>
    </row>
    <row r="22" spans="1:10">
      <c r="A22" s="42" t="str">
        <f>Scenario_Model!D4</f>
        <v>Phones</v>
      </c>
      <c r="B22" s="45">
        <f>Scenario_Model!E4</f>
        <v>2</v>
      </c>
      <c r="C22" s="45">
        <f>Scenario_Model!F4</f>
        <v>3</v>
      </c>
      <c r="D22" s="44">
        <f>Scenario_Model!G4</f>
        <v>92.83308657689939</v>
      </c>
      <c r="E22" s="44">
        <f>Scenario_Model!H4</f>
        <v>111.21996666316076</v>
      </c>
      <c r="F22" s="45">
        <f>Scenario_Model!I4</f>
        <v>1</v>
      </c>
      <c r="G22" s="42" t="s">
        <v>160</v>
      </c>
      <c r="H22" s="42" t="s">
        <v>161</v>
      </c>
      <c r="I22" s="42" t="s">
        <v>142</v>
      </c>
      <c r="J22" s="42" t="s">
        <v>162</v>
      </c>
    </row>
    <row r="23" spans="1:10">
      <c r="A23" s="42" t="str">
        <f>Scenario_Model!D5</f>
        <v>Accessories</v>
      </c>
      <c r="B23" s="45">
        <f>Scenario_Model!E5</f>
        <v>3</v>
      </c>
      <c r="C23" s="45">
        <f>Scenario_Model!F5</f>
        <v>4</v>
      </c>
      <c r="D23" s="44">
        <f>Scenario_Model!G5</f>
        <v>150.62479288011176</v>
      </c>
      <c r="E23" s="44">
        <f>Scenario_Model!H5</f>
        <v>179.96227216812295</v>
      </c>
      <c r="F23" s="45">
        <f>Scenario_Model!I5</f>
        <v>1</v>
      </c>
      <c r="G23" s="42" t="s">
        <v>163</v>
      </c>
      <c r="H23" s="42" t="s">
        <v>164</v>
      </c>
      <c r="I23" s="42" t="s">
        <v>142</v>
      </c>
      <c r="J23" s="42" t="s">
        <v>165</v>
      </c>
    </row>
    <row r="24" spans="1:10">
      <c r="A24" s="42" t="str">
        <f>Scenario_Model!D6</f>
        <v>Monitors</v>
      </c>
      <c r="B24" s="45">
        <f>Scenario_Model!E6</f>
        <v>4</v>
      </c>
      <c r="C24" s="45">
        <f>Scenario_Model!F6</f>
        <v>5</v>
      </c>
      <c r="D24" s="44">
        <f>Scenario_Model!G6</f>
        <v>75.020152649104389</v>
      </c>
      <c r="E24" s="44">
        <f>Scenario_Model!H6</f>
        <v>89.307882199729121</v>
      </c>
      <c r="F24" s="45">
        <f>Scenario_Model!I6</f>
        <v>1</v>
      </c>
      <c r="G24" s="42" t="s">
        <v>166</v>
      </c>
      <c r="H24" s="42" t="s">
        <v>167</v>
      </c>
      <c r="I24" s="42" t="s">
        <v>155</v>
      </c>
      <c r="J24" s="42" t="s">
        <v>168</v>
      </c>
    </row>
    <row r="25" spans="1:10">
      <c r="A25" s="42" t="str">
        <f>Scenario_Model!D7</f>
        <v>Printers</v>
      </c>
      <c r="B25" s="45">
        <f>Scenario_Model!E7</f>
        <v>1</v>
      </c>
      <c r="C25" s="45">
        <f>Scenario_Model!F7</f>
        <v>2</v>
      </c>
      <c r="D25" s="44">
        <f>Scenario_Model!G7</f>
        <v>57.53553175981898</v>
      </c>
      <c r="E25" s="44">
        <f>Scenario_Model!H7</f>
        <v>68.581942078658031</v>
      </c>
      <c r="F25" s="45">
        <f>Scenario_Model!I7</f>
        <v>1</v>
      </c>
      <c r="G25" s="42" t="s">
        <v>169</v>
      </c>
      <c r="H25" s="42" t="s">
        <v>170</v>
      </c>
      <c r="I25" s="42" t="s">
        <v>171</v>
      </c>
      <c r="J25" s="42" t="s">
        <v>172</v>
      </c>
    </row>
  </sheetData>
  <mergeCells count="11">
    <mergeCell ref="A9:E9"/>
    <mergeCell ref="G9:J9"/>
    <mergeCell ref="A18:J18"/>
    <mergeCell ref="A1:J1"/>
    <mergeCell ref="A2:J2"/>
    <mergeCell ref="A4:C5"/>
    <mergeCell ref="A6:C7"/>
    <mergeCell ref="D4:F5"/>
    <mergeCell ref="D6:F7"/>
    <mergeCell ref="G4:J5"/>
    <mergeCell ref="G6:J7"/>
  </mergeCells>
  <conditionalFormatting sqref="A10:E16">
    <cfRule type="colorScale" priority="1">
      <colorScale>
        <cfvo type="min"/>
        <cfvo type="percentile" val="50"/>
        <cfvo type="max"/>
        <color rgb="FFE5F3FF"/>
        <color rgb="FF93C5FD"/>
        <color rgb="FF2563EB"/>
      </colorScale>
    </cfRule>
  </conditionalFormatting>
  <conditionalFormatting sqref="F20:F25">
    <cfRule type="dataBar" priority="5">
      <dataBar>
        <cfvo type="min"/>
        <cfvo type="max"/>
        <color rgb="FFA02B93"/>
      </dataBar>
    </cfRule>
  </conditionalFormatting>
  <conditionalFormatting sqref="I20:I25">
    <cfRule type="expression" dxfId="4" priority="2">
      <formula>I20="Open"</formula>
    </cfRule>
    <cfRule type="expression" dxfId="3" priority="3">
      <formula>I20="Monitor"</formula>
    </cfRule>
    <cfRule type="expression" dxfId="2" priority="4">
      <formula>I20="Watch"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6"/>
  <sheetViews>
    <sheetView tabSelected="1" workbookViewId="0">
      <selection activeCell="I29" sqref="I29"/>
    </sheetView>
  </sheetViews>
  <sheetFormatPr defaultRowHeight="14.25"/>
  <cols>
    <col min="1" max="1" width="15.625" customWidth="1"/>
    <col min="2" max="10" width="14" customWidth="1"/>
  </cols>
  <sheetData>
    <row r="1" spans="1:10" ht="24" customHeight="1">
      <c r="A1" s="85" t="s">
        <v>173</v>
      </c>
      <c r="B1" s="85"/>
      <c r="C1" s="85"/>
      <c r="D1" s="85"/>
      <c r="E1" s="85"/>
      <c r="F1" s="85"/>
      <c r="G1" s="85"/>
      <c r="H1" s="85"/>
      <c r="I1" s="85"/>
      <c r="J1" s="85"/>
    </row>
    <row r="2" spans="1:10" ht="15">
      <c r="A2" s="9" t="s">
        <v>174</v>
      </c>
      <c r="D2" s="9" t="s">
        <v>175</v>
      </c>
      <c r="G2" s="9" t="s">
        <v>176</v>
      </c>
    </row>
    <row r="3" spans="1:10">
      <c r="A3" s="86">
        <f>KPIs!B2</f>
        <v>1839629.57</v>
      </c>
      <c r="B3" s="87"/>
      <c r="C3" s="87"/>
      <c r="D3" s="88">
        <f>KPIs!B3</f>
        <v>72</v>
      </c>
      <c r="E3" s="87"/>
      <c r="F3" s="87"/>
      <c r="G3" s="88">
        <f>KPIs!B5</f>
        <v>14</v>
      </c>
      <c r="H3" s="87"/>
      <c r="I3" s="87"/>
    </row>
    <row r="4" spans="1:10">
      <c r="A4" s="87"/>
      <c r="B4" s="87"/>
      <c r="C4" s="87"/>
      <c r="D4" s="87"/>
      <c r="E4" s="87"/>
      <c r="F4" s="87"/>
      <c r="G4" s="87"/>
      <c r="H4" s="87"/>
      <c r="I4" s="87"/>
    </row>
    <row r="5" spans="1:10">
      <c r="A5" s="87"/>
      <c r="B5" s="87"/>
      <c r="C5" s="87"/>
      <c r="D5" s="87"/>
      <c r="E5" s="87"/>
      <c r="F5" s="87"/>
      <c r="G5" s="87"/>
      <c r="H5" s="87"/>
      <c r="I5" s="87"/>
    </row>
    <row r="6" spans="1:10">
      <c r="A6" s="87"/>
      <c r="B6" s="87"/>
      <c r="C6" s="87"/>
      <c r="D6" s="87"/>
      <c r="E6" s="87"/>
      <c r="F6" s="87"/>
      <c r="G6" s="87"/>
      <c r="H6" s="87"/>
      <c r="I6" s="87"/>
    </row>
    <row r="7" spans="1:10" ht="15">
      <c r="A7" s="9" t="s">
        <v>177</v>
      </c>
      <c r="D7" s="9" t="s">
        <v>178</v>
      </c>
      <c r="G7" s="9" t="s">
        <v>179</v>
      </c>
    </row>
    <row r="8" spans="1:10">
      <c r="A8" s="89">
        <f>KPIs!B4</f>
        <v>6.2650020837121714</v>
      </c>
      <c r="B8" s="87"/>
      <c r="C8" s="87"/>
      <c r="D8" s="88">
        <f>KPIs!B6</f>
        <v>0</v>
      </c>
      <c r="E8" s="87"/>
      <c r="F8" s="87"/>
      <c r="G8" s="86">
        <f>KPIs!B7</f>
        <v>552587.07000000007</v>
      </c>
      <c r="H8" s="87"/>
      <c r="I8" s="87"/>
    </row>
    <row r="9" spans="1:10">
      <c r="A9" s="87"/>
      <c r="B9" s="87"/>
      <c r="C9" s="87"/>
      <c r="D9" s="87"/>
      <c r="E9" s="87"/>
      <c r="F9" s="87"/>
      <c r="G9" s="87"/>
      <c r="H9" s="87"/>
      <c r="I9" s="87"/>
    </row>
    <row r="10" spans="1:10">
      <c r="A10" s="87"/>
      <c r="B10" s="87"/>
      <c r="C10" s="87"/>
      <c r="D10" s="87"/>
      <c r="E10" s="87"/>
      <c r="F10" s="87"/>
      <c r="G10" s="87"/>
      <c r="H10" s="87"/>
      <c r="I10" s="87"/>
    </row>
    <row r="11" spans="1:10">
      <c r="A11" s="87"/>
      <c r="B11" s="87"/>
      <c r="C11" s="87"/>
      <c r="D11" s="87"/>
      <c r="E11" s="87"/>
      <c r="F11" s="87"/>
      <c r="G11" s="87"/>
      <c r="H11" s="87"/>
      <c r="I11" s="87"/>
    </row>
    <row r="13" spans="1:10" ht="15">
      <c r="A13" s="90" t="s">
        <v>180</v>
      </c>
      <c r="B13" s="90"/>
      <c r="C13" s="90"/>
      <c r="D13" s="90"/>
      <c r="F13" s="90" t="s">
        <v>181</v>
      </c>
      <c r="G13" s="90"/>
      <c r="H13" s="90"/>
      <c r="I13" s="90"/>
    </row>
    <row r="14" spans="1:10">
      <c r="A14" s="10" t="s">
        <v>1</v>
      </c>
      <c r="B14" s="11" t="s">
        <v>119</v>
      </c>
      <c r="C14" s="12" t="s">
        <v>182</v>
      </c>
      <c r="F14" s="10" t="s">
        <v>3</v>
      </c>
      <c r="G14" s="11" t="s">
        <v>119</v>
      </c>
      <c r="H14" s="12" t="s">
        <v>120</v>
      </c>
    </row>
    <row r="15" spans="1:10">
      <c r="A15" s="13" t="str">
        <f>Analysis!A2</f>
        <v>Laptops</v>
      </c>
      <c r="B15" s="19">
        <f>Analysis!B2</f>
        <v>552587.07000000007</v>
      </c>
      <c r="C15" s="21">
        <f>Analysis!C2</f>
        <v>6.0428458924111625</v>
      </c>
      <c r="F15" s="13" t="str">
        <f>Analysis!F2</f>
        <v>Birmingham DC</v>
      </c>
      <c r="G15" s="19">
        <f>Analysis!G2</f>
        <v>613435.55999999994</v>
      </c>
      <c r="H15" s="15">
        <f>Analysis!H2</f>
        <v>7</v>
      </c>
    </row>
    <row r="16" spans="1:10">
      <c r="A16" s="13" t="str">
        <f>Analysis!A3</f>
        <v>Tablets</v>
      </c>
      <c r="B16" s="19">
        <f>Analysis!B3</f>
        <v>302225.87</v>
      </c>
      <c r="C16" s="21">
        <f>Analysis!C3</f>
        <v>5.652279599519157</v>
      </c>
      <c r="F16" s="13" t="str">
        <f>Analysis!F3</f>
        <v>Manchester Hub</v>
      </c>
      <c r="G16" s="19">
        <f>Analysis!G3</f>
        <v>622753.39</v>
      </c>
      <c r="H16" s="15">
        <f>Analysis!H3</f>
        <v>2</v>
      </c>
    </row>
    <row r="17" spans="1:9">
      <c r="A17" s="13" t="str">
        <f>Analysis!A4</f>
        <v>Phones</v>
      </c>
      <c r="B17" s="19">
        <f>Analysis!B4</f>
        <v>540486.81000000006</v>
      </c>
      <c r="C17" s="21">
        <f>Analysis!C4</f>
        <v>6.8806213169408439</v>
      </c>
      <c r="F17" s="13" t="str">
        <f>Analysis!F4</f>
        <v>London Central</v>
      </c>
      <c r="G17" s="19">
        <f>Analysis!G4</f>
        <v>603440.62000000011</v>
      </c>
      <c r="H17" s="15">
        <f>Analysis!H4</f>
        <v>5</v>
      </c>
    </row>
    <row r="18" spans="1:9">
      <c r="A18" s="13" t="str">
        <f>Analysis!A5</f>
        <v>Accessories</v>
      </c>
      <c r="B18" s="19">
        <f>Analysis!B5</f>
        <v>81020.519999999975</v>
      </c>
      <c r="C18" s="21">
        <f>Analysis!C5</f>
        <v>5.3936379985762217</v>
      </c>
      <c r="F18" s="16"/>
      <c r="G18" s="17"/>
      <c r="H18" s="18"/>
    </row>
    <row r="19" spans="1:9">
      <c r="A19" s="13" t="str">
        <f>Analysis!A6</f>
        <v>Monitors</v>
      </c>
      <c r="B19" s="19">
        <f>Analysis!B6</f>
        <v>167045.87</v>
      </c>
      <c r="C19" s="21">
        <f>Analysis!C6</f>
        <v>6.4654997023962686</v>
      </c>
    </row>
    <row r="20" spans="1:9">
      <c r="A20" s="16" t="str">
        <f>Analysis!A7</f>
        <v>Printers</v>
      </c>
      <c r="B20" s="20">
        <f>Analysis!B7</f>
        <v>196263.43</v>
      </c>
      <c r="C20" s="22">
        <f>Analysis!C7</f>
        <v>7.1551279924293683</v>
      </c>
    </row>
    <row r="22" spans="1:9" ht="15">
      <c r="A22" s="90" t="s">
        <v>183</v>
      </c>
      <c r="B22" s="90"/>
      <c r="C22" s="90"/>
      <c r="D22" s="90"/>
      <c r="E22" s="90"/>
      <c r="F22" s="90"/>
      <c r="G22" s="90"/>
      <c r="H22" s="90"/>
      <c r="I22" s="90"/>
    </row>
    <row r="23" spans="1:9" ht="21.95" customHeight="1">
      <c r="A23" s="101" t="s">
        <v>184</v>
      </c>
      <c r="B23" s="101"/>
      <c r="C23" s="101"/>
      <c r="D23" s="101"/>
      <c r="E23" s="101"/>
      <c r="F23" s="101"/>
      <c r="G23" s="101"/>
      <c r="H23" s="101"/>
      <c r="I23" s="101"/>
    </row>
    <row r="24" spans="1:9" ht="21.95" customHeight="1">
      <c r="A24" s="101"/>
      <c r="B24" s="101"/>
      <c r="C24" s="101"/>
      <c r="D24" s="101"/>
      <c r="E24" s="101"/>
      <c r="F24" s="101"/>
      <c r="G24" s="101"/>
      <c r="H24" s="101"/>
      <c r="I24" s="101"/>
    </row>
    <row r="25" spans="1:9" ht="21.95" customHeight="1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21.95" customHeight="1">
      <c r="A26" s="23"/>
      <c r="B26" s="23"/>
      <c r="C26" s="23"/>
      <c r="D26" s="23"/>
      <c r="E26" s="23"/>
      <c r="F26" s="23"/>
      <c r="G26" s="23"/>
      <c r="H26" s="23"/>
      <c r="I26" s="23"/>
    </row>
  </sheetData>
  <mergeCells count="11">
    <mergeCell ref="A13:D13"/>
    <mergeCell ref="F13:I13"/>
    <mergeCell ref="A22:I22"/>
    <mergeCell ref="A23:I24"/>
    <mergeCell ref="A1:J1"/>
    <mergeCell ref="A3:C6"/>
    <mergeCell ref="D3:F6"/>
    <mergeCell ref="G3:I6"/>
    <mergeCell ref="A8:C11"/>
    <mergeCell ref="D8:F11"/>
    <mergeCell ref="G8:I1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75"/>
  <sheetViews>
    <sheetView topLeftCell="A33" workbookViewId="0">
      <selection sqref="A1:H1"/>
    </sheetView>
  </sheetViews>
  <sheetFormatPr defaultRowHeight="14.25"/>
  <cols>
    <col min="1" max="2" width="14" customWidth="1"/>
    <col min="3" max="3" width="18" customWidth="1"/>
    <col min="4" max="6" width="12" customWidth="1"/>
    <col min="7" max="7" width="13" customWidth="1"/>
    <col min="8" max="8" width="12" customWidth="1"/>
  </cols>
  <sheetData>
    <row r="1" spans="1:8" ht="18">
      <c r="A1" s="91" t="s">
        <v>185</v>
      </c>
      <c r="B1" s="91"/>
      <c r="C1" s="91"/>
      <c r="D1" s="91"/>
      <c r="E1" s="91"/>
      <c r="F1" s="91"/>
      <c r="G1" s="91"/>
      <c r="H1" s="91"/>
    </row>
    <row r="3" spans="1:8" ht="15">
      <c r="A3" s="24" t="s">
        <v>0</v>
      </c>
      <c r="B3" s="25" t="s">
        <v>1</v>
      </c>
      <c r="C3" s="25" t="s">
        <v>3</v>
      </c>
      <c r="D3" s="25" t="s">
        <v>186</v>
      </c>
      <c r="E3" s="25" t="s">
        <v>187</v>
      </c>
      <c r="F3" s="25" t="s">
        <v>135</v>
      </c>
      <c r="G3" s="25" t="s">
        <v>188</v>
      </c>
      <c r="H3" s="26" t="s">
        <v>150</v>
      </c>
    </row>
    <row r="4" spans="1:8">
      <c r="A4" s="13" t="str">
        <f>Reorder_Model!A2</f>
        <v>LAP-BIR-100</v>
      </c>
      <c r="B4" s="14" t="str">
        <f>Reorder_Model!B2</f>
        <v>Laptops</v>
      </c>
      <c r="C4" s="14" t="str">
        <f>Reorder_Model!D2</f>
        <v>Birmingham DC</v>
      </c>
      <c r="D4" s="27">
        <f>Reorder_Model!F2</f>
        <v>62</v>
      </c>
      <c r="E4" s="29">
        <f>Reorder_Model!G2</f>
        <v>19.399999999999999</v>
      </c>
      <c r="F4" s="31">
        <f>Reorder_Model!M2</f>
        <v>3.195876288659794</v>
      </c>
      <c r="G4" s="31">
        <f>Reorder_Model!O2</f>
        <v>89.705501240730229</v>
      </c>
      <c r="H4" s="15" t="str">
        <f>Reorder_Model!Q2</f>
        <v>Reorder</v>
      </c>
    </row>
    <row r="5" spans="1:8">
      <c r="A5" s="13" t="str">
        <f>Reorder_Model!A3</f>
        <v>LAP-BIR-101</v>
      </c>
      <c r="B5" s="14" t="str">
        <f>Reorder_Model!B3</f>
        <v>Laptops</v>
      </c>
      <c r="C5" s="14" t="str">
        <f>Reorder_Model!D3</f>
        <v>Birmingham DC</v>
      </c>
      <c r="D5" s="27">
        <f>Reorder_Model!F3</f>
        <v>95</v>
      </c>
      <c r="E5" s="29">
        <f>Reorder_Model!G3</f>
        <v>23.6</v>
      </c>
      <c r="F5" s="31">
        <f>Reorder_Model!M3</f>
        <v>5.7203389830508469</v>
      </c>
      <c r="G5" s="31">
        <f>Reorder_Model!O3</f>
        <v>148.68</v>
      </c>
      <c r="H5" s="15" t="str">
        <f>Reorder_Model!Q3</f>
        <v>Reorder</v>
      </c>
    </row>
    <row r="6" spans="1:8">
      <c r="A6" s="13" t="str">
        <f>Reorder_Model!A4</f>
        <v>LAP-BIR-102</v>
      </c>
      <c r="B6" s="14" t="str">
        <f>Reorder_Model!B4</f>
        <v>Laptops</v>
      </c>
      <c r="C6" s="14" t="str">
        <f>Reorder_Model!D4</f>
        <v>Birmingham DC</v>
      </c>
      <c r="D6" s="27">
        <f>Reorder_Model!F4</f>
        <v>164</v>
      </c>
      <c r="E6" s="29">
        <f>Reorder_Model!G4</f>
        <v>25.3</v>
      </c>
      <c r="F6" s="31">
        <f>Reorder_Model!M4</f>
        <v>7.2727272727272725</v>
      </c>
      <c r="G6" s="31">
        <f>Reorder_Model!O4</f>
        <v>54.394999999999996</v>
      </c>
      <c r="H6" s="15" t="str">
        <f>Reorder_Model!Q4</f>
        <v>Monitor</v>
      </c>
    </row>
    <row r="7" spans="1:8">
      <c r="A7" s="13" t="str">
        <f>Reorder_Model!A5</f>
        <v>LAP-BIR-103</v>
      </c>
      <c r="B7" s="14" t="str">
        <f>Reorder_Model!B5</f>
        <v>Laptops</v>
      </c>
      <c r="C7" s="14" t="str">
        <f>Reorder_Model!D5</f>
        <v>Birmingham DC</v>
      </c>
      <c r="D7" s="27">
        <f>Reorder_Model!F5</f>
        <v>133</v>
      </c>
      <c r="E7" s="29">
        <f>Reorder_Model!G5</f>
        <v>21.3</v>
      </c>
      <c r="F7" s="31">
        <f>Reorder_Model!M5</f>
        <v>7.183098591549296</v>
      </c>
      <c r="G7" s="31">
        <f>Reorder_Model!O5</f>
        <v>111.12263321755788</v>
      </c>
      <c r="H7" s="15" t="str">
        <f>Reorder_Model!Q5</f>
        <v>Monitor</v>
      </c>
    </row>
    <row r="8" spans="1:8">
      <c r="A8" s="13" t="str">
        <f>Reorder_Model!A6</f>
        <v>LAP-MAN-104</v>
      </c>
      <c r="B8" s="14" t="str">
        <f>Reorder_Model!B6</f>
        <v>Laptops</v>
      </c>
      <c r="C8" s="14" t="str">
        <f>Reorder_Model!D6</f>
        <v>Manchester Hub</v>
      </c>
      <c r="D8" s="27">
        <f>Reorder_Model!F6</f>
        <v>66</v>
      </c>
      <c r="E8" s="29">
        <f>Reorder_Model!G6</f>
        <v>21</v>
      </c>
      <c r="F8" s="31">
        <f>Reorder_Model!M6</f>
        <v>5.0476190476190474</v>
      </c>
      <c r="G8" s="31">
        <f>Reorder_Model!O6</f>
        <v>62.127745018908499</v>
      </c>
      <c r="H8" s="15" t="str">
        <f>Reorder_Model!Q6</f>
        <v>Monitor</v>
      </c>
    </row>
    <row r="9" spans="1:8">
      <c r="A9" s="13" t="str">
        <f>Reorder_Model!A7</f>
        <v>LAP-MAN-105</v>
      </c>
      <c r="B9" s="14" t="str">
        <f>Reorder_Model!B7</f>
        <v>Laptops</v>
      </c>
      <c r="C9" s="14" t="str">
        <f>Reorder_Model!D7</f>
        <v>Manchester Hub</v>
      </c>
      <c r="D9" s="27">
        <f>Reorder_Model!F7</f>
        <v>127</v>
      </c>
      <c r="E9" s="29">
        <f>Reorder_Model!G7</f>
        <v>21.6</v>
      </c>
      <c r="F9" s="31">
        <f>Reorder_Model!M7</f>
        <v>5.8796296296296289</v>
      </c>
      <c r="G9" s="31">
        <f>Reorder_Model!O7</f>
        <v>82.300176572491338</v>
      </c>
      <c r="H9" s="15" t="str">
        <f>Reorder_Model!Q7</f>
        <v>Monitor</v>
      </c>
    </row>
    <row r="10" spans="1:8">
      <c r="A10" s="13" t="str">
        <f>Reorder_Model!A8</f>
        <v>LAP-MAN-106</v>
      </c>
      <c r="B10" s="14" t="str">
        <f>Reorder_Model!B8</f>
        <v>Laptops</v>
      </c>
      <c r="C10" s="14" t="str">
        <f>Reorder_Model!D8</f>
        <v>Manchester Hub</v>
      </c>
      <c r="D10" s="27">
        <f>Reorder_Model!F8</f>
        <v>122</v>
      </c>
      <c r="E10" s="29">
        <f>Reorder_Model!G8</f>
        <v>20.6</v>
      </c>
      <c r="F10" s="31">
        <f>Reorder_Model!M8</f>
        <v>6.407766990291262</v>
      </c>
      <c r="G10" s="31">
        <f>Reorder_Model!O8</f>
        <v>117.10438228567426</v>
      </c>
      <c r="H10" s="15" t="str">
        <f>Reorder_Model!Q8</f>
        <v>Monitor</v>
      </c>
    </row>
    <row r="11" spans="1:8">
      <c r="A11" s="13" t="str">
        <f>Reorder_Model!A9</f>
        <v>LAP-MAN-107</v>
      </c>
      <c r="B11" s="14" t="str">
        <f>Reorder_Model!B9</f>
        <v>Laptops</v>
      </c>
      <c r="C11" s="14" t="str">
        <f>Reorder_Model!D9</f>
        <v>Manchester Hub</v>
      </c>
      <c r="D11" s="27">
        <f>Reorder_Model!F9</f>
        <v>78</v>
      </c>
      <c r="E11" s="29">
        <f>Reorder_Model!G9</f>
        <v>20.7</v>
      </c>
      <c r="F11" s="31">
        <f>Reorder_Model!M9</f>
        <v>3.7681159420289858</v>
      </c>
      <c r="G11" s="31">
        <f>Reorder_Model!O9</f>
        <v>64.209153669939298</v>
      </c>
      <c r="H11" s="15" t="str">
        <f>Reorder_Model!Q9</f>
        <v>Monitor</v>
      </c>
    </row>
    <row r="12" spans="1:8">
      <c r="A12" s="13" t="str">
        <f>Reorder_Model!A10</f>
        <v>LAP-LON-108</v>
      </c>
      <c r="B12" s="14" t="str">
        <f>Reorder_Model!B10</f>
        <v>Laptops</v>
      </c>
      <c r="C12" s="14" t="str">
        <f>Reorder_Model!D10</f>
        <v>London Central</v>
      </c>
      <c r="D12" s="27">
        <f>Reorder_Model!F10</f>
        <v>104</v>
      </c>
      <c r="E12" s="29">
        <f>Reorder_Model!G10</f>
        <v>20.6</v>
      </c>
      <c r="F12" s="31">
        <f>Reorder_Model!M10</f>
        <v>5.5339805825242712</v>
      </c>
      <c r="G12" s="31">
        <f>Reorder_Model!O10</f>
        <v>78.489983212653783</v>
      </c>
      <c r="H12" s="15" t="str">
        <f>Reorder_Model!Q10</f>
        <v>Monitor</v>
      </c>
    </row>
    <row r="13" spans="1:8">
      <c r="A13" s="13" t="str">
        <f>Reorder_Model!A11</f>
        <v>LAP-LON-109</v>
      </c>
      <c r="B13" s="14" t="str">
        <f>Reorder_Model!B11</f>
        <v>Laptops</v>
      </c>
      <c r="C13" s="14" t="str">
        <f>Reorder_Model!D11</f>
        <v>London Central</v>
      </c>
      <c r="D13" s="27">
        <f>Reorder_Model!F11</f>
        <v>155</v>
      </c>
      <c r="E13" s="29">
        <f>Reorder_Model!G11</f>
        <v>22.4</v>
      </c>
      <c r="F13" s="31">
        <f>Reorder_Model!M11</f>
        <v>8.7053571428571441</v>
      </c>
      <c r="G13" s="31">
        <f>Reorder_Model!O11</f>
        <v>53.759999999999991</v>
      </c>
      <c r="H13" s="15" t="str">
        <f>Reorder_Model!Q11</f>
        <v>Monitor</v>
      </c>
    </row>
    <row r="14" spans="1:8">
      <c r="A14" s="13" t="str">
        <f>Reorder_Model!A12</f>
        <v>LAP-LON-110</v>
      </c>
      <c r="B14" s="14" t="str">
        <f>Reorder_Model!B12</f>
        <v>Laptops</v>
      </c>
      <c r="C14" s="14" t="str">
        <f>Reorder_Model!D12</f>
        <v>London Central</v>
      </c>
      <c r="D14" s="27">
        <f>Reorder_Model!F12</f>
        <v>104</v>
      </c>
      <c r="E14" s="29">
        <f>Reorder_Model!G12</f>
        <v>19.8</v>
      </c>
      <c r="F14" s="31">
        <f>Reorder_Model!M12</f>
        <v>6.7676767676767673</v>
      </c>
      <c r="G14" s="31">
        <f>Reorder_Model!O12</f>
        <v>64.967280306186822</v>
      </c>
      <c r="H14" s="15" t="str">
        <f>Reorder_Model!Q12</f>
        <v>Monitor</v>
      </c>
    </row>
    <row r="15" spans="1:8">
      <c r="A15" s="13" t="str">
        <f>Reorder_Model!A13</f>
        <v>LAP-LON-111</v>
      </c>
      <c r="B15" s="14" t="str">
        <f>Reorder_Model!B13</f>
        <v>Laptops</v>
      </c>
      <c r="C15" s="14" t="str">
        <f>Reorder_Model!D13</f>
        <v>London Central</v>
      </c>
      <c r="D15" s="27">
        <f>Reorder_Model!F13</f>
        <v>114</v>
      </c>
      <c r="E15" s="29">
        <f>Reorder_Model!G13</f>
        <v>21.9</v>
      </c>
      <c r="F15" s="31">
        <f>Reorder_Model!M13</f>
        <v>7.031963470319635</v>
      </c>
      <c r="G15" s="31">
        <f>Reorder_Model!O13</f>
        <v>109.32169958862215</v>
      </c>
      <c r="H15" s="15" t="str">
        <f>Reorder_Model!Q13</f>
        <v>Monitor</v>
      </c>
    </row>
    <row r="16" spans="1:8">
      <c r="A16" s="13" t="str">
        <f>Reorder_Model!A14</f>
        <v>TAB-BIR-112</v>
      </c>
      <c r="B16" s="14" t="str">
        <f>Reorder_Model!B14</f>
        <v>Tablets</v>
      </c>
      <c r="C16" s="14" t="str">
        <f>Reorder_Model!D14</f>
        <v>Birmingham DC</v>
      </c>
      <c r="D16" s="27">
        <f>Reorder_Model!F14</f>
        <v>59</v>
      </c>
      <c r="E16" s="29">
        <f>Reorder_Model!G14</f>
        <v>19.399999999999999</v>
      </c>
      <c r="F16" s="31">
        <f>Reorder_Model!M14</f>
        <v>4.0721649484536089</v>
      </c>
      <c r="G16" s="31">
        <f>Reorder_Model!O14</f>
        <v>93.438606267762964</v>
      </c>
      <c r="H16" s="15" t="str">
        <f>Reorder_Model!Q14</f>
        <v>Reorder</v>
      </c>
    </row>
    <row r="17" spans="1:8">
      <c r="A17" s="13" t="str">
        <f>Reorder_Model!A15</f>
        <v>TAB-BIR-113</v>
      </c>
      <c r="B17" s="14" t="str">
        <f>Reorder_Model!B15</f>
        <v>Tablets</v>
      </c>
      <c r="C17" s="14" t="str">
        <f>Reorder_Model!D15</f>
        <v>Birmingham DC</v>
      </c>
      <c r="D17" s="27">
        <f>Reorder_Model!F15</f>
        <v>108</v>
      </c>
      <c r="E17" s="29">
        <f>Reorder_Model!G15</f>
        <v>15.5</v>
      </c>
      <c r="F17" s="31">
        <f>Reorder_Model!M15</f>
        <v>6.967741935483871</v>
      </c>
      <c r="G17" s="31">
        <f>Reorder_Model!O15</f>
        <v>33.325000000000003</v>
      </c>
      <c r="H17" s="15" t="str">
        <f>Reorder_Model!Q15</f>
        <v>Monitor</v>
      </c>
    </row>
    <row r="18" spans="1:8">
      <c r="A18" s="13" t="str">
        <f>Reorder_Model!A16</f>
        <v>TAB-BIR-114</v>
      </c>
      <c r="B18" s="14" t="str">
        <f>Reorder_Model!B16</f>
        <v>Tablets</v>
      </c>
      <c r="C18" s="14" t="str">
        <f>Reorder_Model!D16</f>
        <v>Birmingham DC</v>
      </c>
      <c r="D18" s="27">
        <f>Reorder_Model!F16</f>
        <v>98</v>
      </c>
      <c r="E18" s="29">
        <f>Reorder_Model!G16</f>
        <v>18.3</v>
      </c>
      <c r="F18" s="31">
        <f>Reorder_Model!M16</f>
        <v>7.5409836065573765</v>
      </c>
      <c r="G18" s="31">
        <f>Reorder_Model!O16</f>
        <v>104.02962115669121</v>
      </c>
      <c r="H18" s="15" t="str">
        <f>Reorder_Model!Q16</f>
        <v>Monitor</v>
      </c>
    </row>
    <row r="19" spans="1:8">
      <c r="A19" s="13" t="str">
        <f>Reorder_Model!A17</f>
        <v>TAB-BIR-115</v>
      </c>
      <c r="B19" s="14" t="str">
        <f>Reorder_Model!B17</f>
        <v>Tablets</v>
      </c>
      <c r="C19" s="14" t="str">
        <f>Reorder_Model!D17</f>
        <v>Birmingham DC</v>
      </c>
      <c r="D19" s="27">
        <f>Reorder_Model!F17</f>
        <v>95</v>
      </c>
      <c r="E19" s="29">
        <f>Reorder_Model!G17</f>
        <v>17.8</v>
      </c>
      <c r="F19" s="31">
        <f>Reorder_Model!M17</f>
        <v>5.8988764044943816</v>
      </c>
      <c r="G19" s="31">
        <f>Reorder_Model!O17</f>
        <v>55.213668373184518</v>
      </c>
      <c r="H19" s="15" t="str">
        <f>Reorder_Model!Q17</f>
        <v>Monitor</v>
      </c>
    </row>
    <row r="20" spans="1:8">
      <c r="A20" s="13" t="str">
        <f>Reorder_Model!A18</f>
        <v>TAB-MAN-116</v>
      </c>
      <c r="B20" s="14" t="str">
        <f>Reorder_Model!B18</f>
        <v>Tablets</v>
      </c>
      <c r="C20" s="14" t="str">
        <f>Reorder_Model!D18</f>
        <v>Manchester Hub</v>
      </c>
      <c r="D20" s="27">
        <f>Reorder_Model!F18</f>
        <v>65</v>
      </c>
      <c r="E20" s="29">
        <f>Reorder_Model!G18</f>
        <v>18.399999999999999</v>
      </c>
      <c r="F20" s="31">
        <f>Reorder_Model!M18</f>
        <v>4.6195652173913047</v>
      </c>
      <c r="G20" s="31">
        <f>Reorder_Model!O18</f>
        <v>51.576751659230048</v>
      </c>
      <c r="H20" s="15" t="str">
        <f>Reorder_Model!Q18</f>
        <v>Monitor</v>
      </c>
    </row>
    <row r="21" spans="1:8">
      <c r="A21" s="13" t="str">
        <f>Reorder_Model!A19</f>
        <v>TAB-MAN-117</v>
      </c>
      <c r="B21" s="14" t="str">
        <f>Reorder_Model!B19</f>
        <v>Tablets</v>
      </c>
      <c r="C21" s="14" t="str">
        <f>Reorder_Model!D19</f>
        <v>Manchester Hub</v>
      </c>
      <c r="D21" s="27">
        <f>Reorder_Model!F19</f>
        <v>88</v>
      </c>
      <c r="E21" s="29">
        <f>Reorder_Model!G19</f>
        <v>20.100000000000001</v>
      </c>
      <c r="F21" s="31">
        <f>Reorder_Model!M19</f>
        <v>5.8706467661691537</v>
      </c>
      <c r="G21" s="31">
        <f>Reorder_Model!O19</f>
        <v>65.951633038098748</v>
      </c>
      <c r="H21" s="15" t="str">
        <f>Reorder_Model!Q19</f>
        <v>Monitor</v>
      </c>
    </row>
    <row r="22" spans="1:8">
      <c r="A22" s="13" t="str">
        <f>Reorder_Model!A20</f>
        <v>TAB-MAN-118</v>
      </c>
      <c r="B22" s="14" t="str">
        <f>Reorder_Model!B20</f>
        <v>Tablets</v>
      </c>
      <c r="C22" s="14" t="str">
        <f>Reorder_Model!D20</f>
        <v>Manchester Hub</v>
      </c>
      <c r="D22" s="27">
        <f>Reorder_Model!F20</f>
        <v>133</v>
      </c>
      <c r="E22" s="29">
        <f>Reorder_Model!G20</f>
        <v>19.8</v>
      </c>
      <c r="F22" s="31">
        <f>Reorder_Model!M20</f>
        <v>7.2222222222222223</v>
      </c>
      <c r="G22" s="31">
        <f>Reorder_Model!O20</f>
        <v>50.49</v>
      </c>
      <c r="H22" s="15" t="str">
        <f>Reorder_Model!Q20</f>
        <v>Monitor</v>
      </c>
    </row>
    <row r="23" spans="1:8">
      <c r="A23" s="13" t="str">
        <f>Reorder_Model!A21</f>
        <v>TAB-MAN-119</v>
      </c>
      <c r="B23" s="14" t="str">
        <f>Reorder_Model!B21</f>
        <v>Tablets</v>
      </c>
      <c r="C23" s="14" t="str">
        <f>Reorder_Model!D21</f>
        <v>Manchester Hub</v>
      </c>
      <c r="D23" s="27">
        <f>Reorder_Model!F21</f>
        <v>62</v>
      </c>
      <c r="E23" s="29">
        <f>Reorder_Model!G21</f>
        <v>19.7</v>
      </c>
      <c r="F23" s="31">
        <f>Reorder_Model!M21</f>
        <v>4.1624365482233507</v>
      </c>
      <c r="G23" s="31">
        <f>Reorder_Model!O21</f>
        <v>75.060809188799965</v>
      </c>
      <c r="H23" s="15" t="str">
        <f>Reorder_Model!Q21</f>
        <v>Monitor</v>
      </c>
    </row>
    <row r="24" spans="1:8">
      <c r="A24" s="13" t="str">
        <f>Reorder_Model!A22</f>
        <v>TAB-LON-120</v>
      </c>
      <c r="B24" s="14" t="str">
        <f>Reorder_Model!B22</f>
        <v>Tablets</v>
      </c>
      <c r="C24" s="14" t="str">
        <f>Reorder_Model!D22</f>
        <v>London Central</v>
      </c>
      <c r="D24" s="27">
        <f>Reorder_Model!F22</f>
        <v>110</v>
      </c>
      <c r="E24" s="29">
        <f>Reorder_Model!G22</f>
        <v>17</v>
      </c>
      <c r="F24" s="31">
        <f>Reorder_Model!M22</f>
        <v>6.4705882352941178</v>
      </c>
      <c r="G24" s="31">
        <f>Reorder_Model!O22</f>
        <v>67.658282784479667</v>
      </c>
      <c r="H24" s="15" t="str">
        <f>Reorder_Model!Q22</f>
        <v>Monitor</v>
      </c>
    </row>
    <row r="25" spans="1:8">
      <c r="A25" s="13" t="str">
        <f>Reorder_Model!A23</f>
        <v>TAB-LON-121</v>
      </c>
      <c r="B25" s="14" t="str">
        <f>Reorder_Model!B23</f>
        <v>Tablets</v>
      </c>
      <c r="C25" s="14" t="str">
        <f>Reorder_Model!D23</f>
        <v>London Central</v>
      </c>
      <c r="D25" s="27">
        <f>Reorder_Model!F23</f>
        <v>77</v>
      </c>
      <c r="E25" s="29">
        <f>Reorder_Model!G23</f>
        <v>20.100000000000001</v>
      </c>
      <c r="F25" s="31">
        <f>Reorder_Model!M23</f>
        <v>3.8308457711442783</v>
      </c>
      <c r="G25" s="31">
        <f>Reorder_Model!O23</f>
        <v>96.810102370208028</v>
      </c>
      <c r="H25" s="15" t="str">
        <f>Reorder_Model!Q23</f>
        <v>Reorder</v>
      </c>
    </row>
    <row r="26" spans="1:8">
      <c r="A26" s="13" t="str">
        <f>Reorder_Model!A24</f>
        <v>TAB-LON-122</v>
      </c>
      <c r="B26" s="14" t="str">
        <f>Reorder_Model!B24</f>
        <v>Tablets</v>
      </c>
      <c r="C26" s="14" t="str">
        <f>Reorder_Model!D24</f>
        <v>London Central</v>
      </c>
      <c r="D26" s="27">
        <f>Reorder_Model!F24</f>
        <v>93</v>
      </c>
      <c r="E26" s="29">
        <f>Reorder_Model!G24</f>
        <v>19.7</v>
      </c>
      <c r="F26" s="31">
        <f>Reorder_Model!M24</f>
        <v>5.2284263959390866</v>
      </c>
      <c r="G26" s="31">
        <f>Reorder_Model!O24</f>
        <v>42.354999999999997</v>
      </c>
      <c r="H26" s="15" t="str">
        <f>Reorder_Model!Q24</f>
        <v>Monitor</v>
      </c>
    </row>
    <row r="27" spans="1:8">
      <c r="A27" s="13" t="str">
        <f>Reorder_Model!A25</f>
        <v>TAB-LON-123</v>
      </c>
      <c r="B27" s="14" t="str">
        <f>Reorder_Model!B25</f>
        <v>Tablets</v>
      </c>
      <c r="C27" s="14" t="str">
        <f>Reorder_Model!D25</f>
        <v>London Central</v>
      </c>
      <c r="D27" s="27">
        <f>Reorder_Model!F25</f>
        <v>64</v>
      </c>
      <c r="E27" s="29">
        <f>Reorder_Model!G25</f>
        <v>17.5</v>
      </c>
      <c r="F27" s="31">
        <f>Reorder_Model!M25</f>
        <v>5.9428571428571431</v>
      </c>
      <c r="G27" s="31">
        <f>Reorder_Model!O25</f>
        <v>51.773120849090418</v>
      </c>
      <c r="H27" s="15" t="str">
        <f>Reorder_Model!Q25</f>
        <v>Monitor</v>
      </c>
    </row>
    <row r="28" spans="1:8">
      <c r="A28" s="13" t="str">
        <f>Reorder_Model!A26</f>
        <v>PHO-BIR-124</v>
      </c>
      <c r="B28" s="14" t="str">
        <f>Reorder_Model!B26</f>
        <v>Phones</v>
      </c>
      <c r="C28" s="14" t="str">
        <f>Reorder_Model!D26</f>
        <v>Birmingham DC</v>
      </c>
      <c r="D28" s="27">
        <f>Reorder_Model!F26</f>
        <v>111</v>
      </c>
      <c r="E28" s="29">
        <f>Reorder_Model!G26</f>
        <v>21.2</v>
      </c>
      <c r="F28" s="31">
        <f>Reorder_Model!M26</f>
        <v>5.7075471698113214</v>
      </c>
      <c r="G28" s="31">
        <f>Reorder_Model!O26</f>
        <v>50.879999999999995</v>
      </c>
      <c r="H28" s="15" t="str">
        <f>Reorder_Model!Q26</f>
        <v>Monitor</v>
      </c>
    </row>
    <row r="29" spans="1:8">
      <c r="A29" s="13" t="str">
        <f>Reorder_Model!A27</f>
        <v>PHO-BIR-125</v>
      </c>
      <c r="B29" s="14" t="str">
        <f>Reorder_Model!B27</f>
        <v>Phones</v>
      </c>
      <c r="C29" s="14" t="str">
        <f>Reorder_Model!D27</f>
        <v>Birmingham DC</v>
      </c>
      <c r="D29" s="27">
        <f>Reorder_Model!F27</f>
        <v>74</v>
      </c>
      <c r="E29" s="29">
        <f>Reorder_Model!G27</f>
        <v>18.600000000000001</v>
      </c>
      <c r="F29" s="31">
        <f>Reorder_Model!M27</f>
        <v>3.9784946236559136</v>
      </c>
      <c r="G29" s="31">
        <f>Reorder_Model!O27</f>
        <v>94.059421054582614</v>
      </c>
      <c r="H29" s="15" t="str">
        <f>Reorder_Model!Q27</f>
        <v>Reorder</v>
      </c>
    </row>
    <row r="30" spans="1:8">
      <c r="A30" s="13" t="str">
        <f>Reorder_Model!A28</f>
        <v>PHO-BIR-126</v>
      </c>
      <c r="B30" s="14" t="str">
        <f>Reorder_Model!B28</f>
        <v>Phones</v>
      </c>
      <c r="C30" s="14" t="str">
        <f>Reorder_Model!D28</f>
        <v>Birmingham DC</v>
      </c>
      <c r="D30" s="27">
        <f>Reorder_Model!F28</f>
        <v>126</v>
      </c>
      <c r="E30" s="29">
        <f>Reorder_Model!G28</f>
        <v>18.5</v>
      </c>
      <c r="F30" s="31">
        <f>Reorder_Model!M28</f>
        <v>7.8918918918918921</v>
      </c>
      <c r="G30" s="31">
        <f>Reorder_Model!O28</f>
        <v>121.36</v>
      </c>
      <c r="H30" s="15" t="str">
        <f>Reorder_Model!Q28</f>
        <v>Monitor</v>
      </c>
    </row>
    <row r="31" spans="1:8">
      <c r="A31" s="13" t="str">
        <f>Reorder_Model!A29</f>
        <v>PHO-BIR-127</v>
      </c>
      <c r="B31" s="14" t="str">
        <f>Reorder_Model!B29</f>
        <v>Phones</v>
      </c>
      <c r="C31" s="14" t="str">
        <f>Reorder_Model!D29</f>
        <v>Birmingham DC</v>
      </c>
      <c r="D31" s="27">
        <f>Reorder_Model!F29</f>
        <v>137</v>
      </c>
      <c r="E31" s="29">
        <f>Reorder_Model!G29</f>
        <v>21.8</v>
      </c>
      <c r="F31" s="31">
        <f>Reorder_Model!M29</f>
        <v>7.2018348623853212</v>
      </c>
      <c r="G31" s="31">
        <f>Reorder_Model!O29</f>
        <v>52.32</v>
      </c>
      <c r="H31" s="15" t="str">
        <f>Reorder_Model!Q29</f>
        <v>Monitor</v>
      </c>
    </row>
    <row r="32" spans="1:8">
      <c r="A32" s="13" t="str">
        <f>Reorder_Model!A30</f>
        <v>PHO-MAN-128</v>
      </c>
      <c r="B32" s="14" t="str">
        <f>Reorder_Model!B30</f>
        <v>Phones</v>
      </c>
      <c r="C32" s="14" t="str">
        <f>Reorder_Model!D30</f>
        <v>Manchester Hub</v>
      </c>
      <c r="D32" s="27">
        <f>Reorder_Model!F30</f>
        <v>150</v>
      </c>
      <c r="E32" s="29">
        <f>Reorder_Model!G30</f>
        <v>21.8</v>
      </c>
      <c r="F32" s="31">
        <f>Reorder_Model!M30</f>
        <v>8.2568807339449535</v>
      </c>
      <c r="G32" s="31">
        <f>Reorder_Model!O30</f>
        <v>100.8030890230886</v>
      </c>
      <c r="H32" s="15" t="str">
        <f>Reorder_Model!Q30</f>
        <v>Monitor</v>
      </c>
    </row>
    <row r="33" spans="1:8">
      <c r="A33" s="13" t="str">
        <f>Reorder_Model!A31</f>
        <v>PHO-MAN-129</v>
      </c>
      <c r="B33" s="14" t="str">
        <f>Reorder_Model!B31</f>
        <v>Phones</v>
      </c>
      <c r="C33" s="14" t="str">
        <f>Reorder_Model!D31</f>
        <v>Manchester Hub</v>
      </c>
      <c r="D33" s="27">
        <f>Reorder_Model!F31</f>
        <v>140</v>
      </c>
      <c r="E33" s="29">
        <f>Reorder_Model!G31</f>
        <v>21.8</v>
      </c>
      <c r="F33" s="31">
        <f>Reorder_Model!M31</f>
        <v>8.2568807339449535</v>
      </c>
      <c r="G33" s="31">
        <f>Reorder_Model!O31</f>
        <v>104.99802147614602</v>
      </c>
      <c r="H33" s="15" t="str">
        <f>Reorder_Model!Q31</f>
        <v>Monitor</v>
      </c>
    </row>
    <row r="34" spans="1:8">
      <c r="A34" s="13" t="str">
        <f>Reorder_Model!A32</f>
        <v>PHO-MAN-130</v>
      </c>
      <c r="B34" s="14" t="str">
        <f>Reorder_Model!B32</f>
        <v>Phones</v>
      </c>
      <c r="C34" s="14" t="str">
        <f>Reorder_Model!D32</f>
        <v>Manchester Hub</v>
      </c>
      <c r="D34" s="27">
        <f>Reorder_Model!F32</f>
        <v>166</v>
      </c>
      <c r="E34" s="29">
        <f>Reorder_Model!G32</f>
        <v>23</v>
      </c>
      <c r="F34" s="31">
        <f>Reorder_Model!M32</f>
        <v>8.0869565217391308</v>
      </c>
      <c r="G34" s="31">
        <f>Reorder_Model!O32</f>
        <v>110.77772908033754</v>
      </c>
      <c r="H34" s="15" t="str">
        <f>Reorder_Model!Q32</f>
        <v>Monitor</v>
      </c>
    </row>
    <row r="35" spans="1:8">
      <c r="A35" s="13" t="str">
        <f>Reorder_Model!A33</f>
        <v>PHO-MAN-131</v>
      </c>
      <c r="B35" s="14" t="str">
        <f>Reorder_Model!B33</f>
        <v>Phones</v>
      </c>
      <c r="C35" s="14" t="str">
        <f>Reorder_Model!D33</f>
        <v>Manchester Hub</v>
      </c>
      <c r="D35" s="27">
        <f>Reorder_Model!F33</f>
        <v>136</v>
      </c>
      <c r="E35" s="29">
        <f>Reorder_Model!G33</f>
        <v>19.5</v>
      </c>
      <c r="F35" s="31">
        <f>Reorder_Model!M33</f>
        <v>8</v>
      </c>
      <c r="G35" s="31">
        <f>Reorder_Model!O33</f>
        <v>49.725000000000001</v>
      </c>
      <c r="H35" s="15" t="str">
        <f>Reorder_Model!Q33</f>
        <v>Monitor</v>
      </c>
    </row>
    <row r="36" spans="1:8">
      <c r="A36" s="13" t="str">
        <f>Reorder_Model!A34</f>
        <v>PHO-LON-132</v>
      </c>
      <c r="B36" s="14" t="str">
        <f>Reorder_Model!B34</f>
        <v>Phones</v>
      </c>
      <c r="C36" s="14" t="str">
        <f>Reorder_Model!D34</f>
        <v>London Central</v>
      </c>
      <c r="D36" s="27">
        <f>Reorder_Model!F34</f>
        <v>93</v>
      </c>
      <c r="E36" s="29">
        <f>Reorder_Model!G34</f>
        <v>22.8</v>
      </c>
      <c r="F36" s="31">
        <f>Reorder_Model!M34</f>
        <v>4.5175438596491224</v>
      </c>
      <c r="G36" s="31">
        <f>Reorder_Model!O34</f>
        <v>155.04</v>
      </c>
      <c r="H36" s="15" t="str">
        <f>Reorder_Model!Q34</f>
        <v>Reorder</v>
      </c>
    </row>
    <row r="37" spans="1:8">
      <c r="A37" s="13" t="str">
        <f>Reorder_Model!A35</f>
        <v>PHO-LON-133</v>
      </c>
      <c r="B37" s="14" t="str">
        <f>Reorder_Model!B35</f>
        <v>Phones</v>
      </c>
      <c r="C37" s="14" t="str">
        <f>Reorder_Model!D35</f>
        <v>London Central</v>
      </c>
      <c r="D37" s="27">
        <f>Reorder_Model!F35</f>
        <v>131</v>
      </c>
      <c r="E37" s="29">
        <f>Reorder_Model!G35</f>
        <v>22.2</v>
      </c>
      <c r="F37" s="31">
        <f>Reorder_Model!M35</f>
        <v>6.801801801801802</v>
      </c>
      <c r="G37" s="31">
        <f>Reorder_Model!O35</f>
        <v>84.586292588393874</v>
      </c>
      <c r="H37" s="15" t="str">
        <f>Reorder_Model!Q35</f>
        <v>Monitor</v>
      </c>
    </row>
    <row r="38" spans="1:8">
      <c r="A38" s="13" t="str">
        <f>Reorder_Model!A36</f>
        <v>PHO-LON-134</v>
      </c>
      <c r="B38" s="14" t="str">
        <f>Reorder_Model!B36</f>
        <v>Phones</v>
      </c>
      <c r="C38" s="14" t="str">
        <f>Reorder_Model!D36</f>
        <v>London Central</v>
      </c>
      <c r="D38" s="27">
        <f>Reorder_Model!F36</f>
        <v>130</v>
      </c>
      <c r="E38" s="29">
        <f>Reorder_Model!G36</f>
        <v>22.8</v>
      </c>
      <c r="F38" s="31">
        <f>Reorder_Model!M36</f>
        <v>7.4561403508771926</v>
      </c>
      <c r="G38" s="31">
        <f>Reorder_Model!O36</f>
        <v>109.81444447963895</v>
      </c>
      <c r="H38" s="15" t="str">
        <f>Reorder_Model!Q36</f>
        <v>Monitor</v>
      </c>
    </row>
    <row r="39" spans="1:8">
      <c r="A39" s="13" t="str">
        <f>Reorder_Model!A37</f>
        <v>PHO-LON-135</v>
      </c>
      <c r="B39" s="14" t="str">
        <f>Reorder_Model!B37</f>
        <v>Phones</v>
      </c>
      <c r="C39" s="14" t="str">
        <f>Reorder_Model!D37</f>
        <v>London Central</v>
      </c>
      <c r="D39" s="27">
        <f>Reorder_Model!F37</f>
        <v>134</v>
      </c>
      <c r="E39" s="29">
        <f>Reorder_Model!G37</f>
        <v>20.9</v>
      </c>
      <c r="F39" s="31">
        <f>Reorder_Model!M37</f>
        <v>6.4114832535885169</v>
      </c>
      <c r="G39" s="31">
        <f>Reorder_Model!O37</f>
        <v>79.633041220605037</v>
      </c>
      <c r="H39" s="15" t="str">
        <f>Reorder_Model!Q37</f>
        <v>Monitor</v>
      </c>
    </row>
    <row r="40" spans="1:8">
      <c r="A40" s="13" t="str">
        <f>Reorder_Model!A38</f>
        <v>ACC-BIR-136</v>
      </c>
      <c r="B40" s="14" t="str">
        <f>Reorder_Model!B38</f>
        <v>Accessories</v>
      </c>
      <c r="C40" s="14" t="str">
        <f>Reorder_Model!D38</f>
        <v>Birmingham DC</v>
      </c>
      <c r="D40" s="27">
        <f>Reorder_Model!F38</f>
        <v>118</v>
      </c>
      <c r="E40" s="29">
        <f>Reorder_Model!G38</f>
        <v>34.5</v>
      </c>
      <c r="F40" s="31">
        <f>Reorder_Model!M38</f>
        <v>4.2898550724637685</v>
      </c>
      <c r="G40" s="31">
        <f>Reorder_Model!O38</f>
        <v>96.706409361056345</v>
      </c>
      <c r="H40" s="15" t="str">
        <f>Reorder_Model!Q38</f>
        <v>Monitor</v>
      </c>
    </row>
    <row r="41" spans="1:8">
      <c r="A41" s="13" t="str">
        <f>Reorder_Model!A39</f>
        <v>ACC-BIR-137</v>
      </c>
      <c r="B41" s="14" t="str">
        <f>Reorder_Model!B39</f>
        <v>Accessories</v>
      </c>
      <c r="C41" s="14" t="str">
        <f>Reorder_Model!D39</f>
        <v>Birmingham DC</v>
      </c>
      <c r="D41" s="27">
        <f>Reorder_Model!F39</f>
        <v>154</v>
      </c>
      <c r="E41" s="29">
        <f>Reorder_Model!G39</f>
        <v>37</v>
      </c>
      <c r="F41" s="31">
        <f>Reorder_Model!M39</f>
        <v>4.4324324324324325</v>
      </c>
      <c r="G41" s="31">
        <f>Reorder_Model!O39</f>
        <v>171.08781164469167</v>
      </c>
      <c r="H41" s="15" t="str">
        <f>Reorder_Model!Q39</f>
        <v>Reorder</v>
      </c>
    </row>
    <row r="42" spans="1:8">
      <c r="A42" s="13" t="str">
        <f>Reorder_Model!A40</f>
        <v>ACC-BIR-138</v>
      </c>
      <c r="B42" s="14" t="str">
        <f>Reorder_Model!B40</f>
        <v>Accessories</v>
      </c>
      <c r="C42" s="14" t="str">
        <f>Reorder_Model!D40</f>
        <v>Birmingham DC</v>
      </c>
      <c r="D42" s="27">
        <f>Reorder_Model!F40</f>
        <v>201</v>
      </c>
      <c r="E42" s="29">
        <f>Reorder_Model!G40</f>
        <v>37.9</v>
      </c>
      <c r="F42" s="31">
        <f>Reorder_Model!M40</f>
        <v>6.0949868073878628</v>
      </c>
      <c r="G42" s="31">
        <f>Reorder_Model!O40</f>
        <v>86.412000000000006</v>
      </c>
      <c r="H42" s="15" t="str">
        <f>Reorder_Model!Q40</f>
        <v>Monitor</v>
      </c>
    </row>
    <row r="43" spans="1:8">
      <c r="A43" s="13" t="str">
        <f>Reorder_Model!A41</f>
        <v>ACC-BIR-139</v>
      </c>
      <c r="B43" s="14" t="str">
        <f>Reorder_Model!B41</f>
        <v>Accessories</v>
      </c>
      <c r="C43" s="14" t="str">
        <f>Reorder_Model!D41</f>
        <v>Birmingham DC</v>
      </c>
      <c r="D43" s="27">
        <f>Reorder_Model!F41</f>
        <v>146</v>
      </c>
      <c r="E43" s="29">
        <f>Reorder_Model!G41</f>
        <v>32.9</v>
      </c>
      <c r="F43" s="31">
        <f>Reorder_Model!M41</f>
        <v>5.3495440729483281</v>
      </c>
      <c r="G43" s="31">
        <f>Reorder_Model!O41</f>
        <v>166.37392218794452</v>
      </c>
      <c r="H43" s="15" t="str">
        <f>Reorder_Model!Q41</f>
        <v>Monitor</v>
      </c>
    </row>
    <row r="44" spans="1:8">
      <c r="A44" s="13" t="str">
        <f>Reorder_Model!A42</f>
        <v>ACC-MAN-140</v>
      </c>
      <c r="B44" s="14" t="str">
        <f>Reorder_Model!B42</f>
        <v>Accessories</v>
      </c>
      <c r="C44" s="14" t="str">
        <f>Reorder_Model!D42</f>
        <v>Manchester Hub</v>
      </c>
      <c r="D44" s="27">
        <f>Reorder_Model!F42</f>
        <v>231</v>
      </c>
      <c r="E44" s="29">
        <f>Reorder_Model!G42</f>
        <v>31.5</v>
      </c>
      <c r="F44" s="31">
        <f>Reorder_Model!M42</f>
        <v>8.6031746031746028</v>
      </c>
      <c r="G44" s="31">
        <f>Reorder_Model!O42</f>
        <v>206.64</v>
      </c>
      <c r="H44" s="15" t="str">
        <f>Reorder_Model!Q42</f>
        <v>Monitor</v>
      </c>
    </row>
    <row r="45" spans="1:8">
      <c r="A45" s="13" t="str">
        <f>Reorder_Model!A43</f>
        <v>ACC-MAN-141</v>
      </c>
      <c r="B45" s="14" t="str">
        <f>Reorder_Model!B43</f>
        <v>Accessories</v>
      </c>
      <c r="C45" s="14" t="str">
        <f>Reorder_Model!D43</f>
        <v>Manchester Hub</v>
      </c>
      <c r="D45" s="27">
        <f>Reorder_Model!F43</f>
        <v>220</v>
      </c>
      <c r="E45" s="29">
        <f>Reorder_Model!G43</f>
        <v>31.6</v>
      </c>
      <c r="F45" s="31">
        <f>Reorder_Model!M43</f>
        <v>7.2784810126582276</v>
      </c>
      <c r="G45" s="31">
        <f>Reorder_Model!O43</f>
        <v>146.11823913438533</v>
      </c>
      <c r="H45" s="15" t="str">
        <f>Reorder_Model!Q43</f>
        <v>Monitor</v>
      </c>
    </row>
    <row r="46" spans="1:8">
      <c r="A46" s="13" t="str">
        <f>Reorder_Model!A44</f>
        <v>ACC-MAN-142</v>
      </c>
      <c r="B46" s="14" t="str">
        <f>Reorder_Model!B44</f>
        <v>Accessories</v>
      </c>
      <c r="C46" s="14" t="str">
        <f>Reorder_Model!D44</f>
        <v>Manchester Hub</v>
      </c>
      <c r="D46" s="27">
        <f>Reorder_Model!F44</f>
        <v>179</v>
      </c>
      <c r="E46" s="29">
        <f>Reorder_Model!G44</f>
        <v>38.4</v>
      </c>
      <c r="F46" s="31">
        <f>Reorder_Model!M44</f>
        <v>4.6614583333333339</v>
      </c>
      <c r="G46" s="31">
        <f>Reorder_Model!O44</f>
        <v>139.25167091439587</v>
      </c>
      <c r="H46" s="15" t="str">
        <f>Reorder_Model!Q44</f>
        <v>Monitor</v>
      </c>
    </row>
    <row r="47" spans="1:8">
      <c r="A47" s="13" t="str">
        <f>Reorder_Model!A45</f>
        <v>ACC-MAN-143</v>
      </c>
      <c r="B47" s="14" t="str">
        <f>Reorder_Model!B45</f>
        <v>Accessories</v>
      </c>
      <c r="C47" s="14" t="str">
        <f>Reorder_Model!D45</f>
        <v>Manchester Hub</v>
      </c>
      <c r="D47" s="27">
        <f>Reorder_Model!F45</f>
        <v>160</v>
      </c>
      <c r="E47" s="29">
        <f>Reorder_Model!G45</f>
        <v>31.5</v>
      </c>
      <c r="F47" s="31">
        <f>Reorder_Model!M45</f>
        <v>5.7142857142857144</v>
      </c>
      <c r="G47" s="31">
        <f>Reorder_Model!O45</f>
        <v>198.45</v>
      </c>
      <c r="H47" s="15" t="str">
        <f>Reorder_Model!Q45</f>
        <v>Reorder</v>
      </c>
    </row>
    <row r="48" spans="1:8">
      <c r="A48" s="13" t="str">
        <f>Reorder_Model!A46</f>
        <v>ACC-LON-144</v>
      </c>
      <c r="B48" s="14" t="str">
        <f>Reorder_Model!B46</f>
        <v>Accessories</v>
      </c>
      <c r="C48" s="14" t="str">
        <f>Reorder_Model!D46</f>
        <v>London Central</v>
      </c>
      <c r="D48" s="27">
        <f>Reorder_Model!F46</f>
        <v>100</v>
      </c>
      <c r="E48" s="29">
        <f>Reorder_Model!G46</f>
        <v>30.5</v>
      </c>
      <c r="F48" s="31">
        <f>Reorder_Model!M46</f>
        <v>3.278688524590164</v>
      </c>
      <c r="G48" s="31">
        <f>Reorder_Model!O46</f>
        <v>207.39999999999998</v>
      </c>
      <c r="H48" s="15" t="str">
        <f>Reorder_Model!Q46</f>
        <v>Reorder</v>
      </c>
    </row>
    <row r="49" spans="1:8">
      <c r="A49" s="13" t="str">
        <f>Reorder_Model!A47</f>
        <v>ACC-LON-145</v>
      </c>
      <c r="B49" s="14" t="str">
        <f>Reorder_Model!B47</f>
        <v>Accessories</v>
      </c>
      <c r="C49" s="14" t="str">
        <f>Reorder_Model!D47</f>
        <v>London Central</v>
      </c>
      <c r="D49" s="27">
        <f>Reorder_Model!F47</f>
        <v>140</v>
      </c>
      <c r="E49" s="29">
        <f>Reorder_Model!G47</f>
        <v>32.200000000000003</v>
      </c>
      <c r="F49" s="31">
        <f>Reorder_Model!M47</f>
        <v>4.3478260869565215</v>
      </c>
      <c r="G49" s="31">
        <f>Reorder_Model!O47</f>
        <v>134.9833988980412</v>
      </c>
      <c r="H49" s="15" t="str">
        <f>Reorder_Model!Q47</f>
        <v>Monitor</v>
      </c>
    </row>
    <row r="50" spans="1:8">
      <c r="A50" s="13" t="str">
        <f>Reorder_Model!A48</f>
        <v>ACC-LON-146</v>
      </c>
      <c r="B50" s="14" t="str">
        <f>Reorder_Model!B48</f>
        <v>Accessories</v>
      </c>
      <c r="C50" s="14" t="str">
        <f>Reorder_Model!D48</f>
        <v>London Central</v>
      </c>
      <c r="D50" s="27">
        <f>Reorder_Model!F48</f>
        <v>131</v>
      </c>
      <c r="E50" s="29">
        <f>Reorder_Model!G48</f>
        <v>30.4</v>
      </c>
      <c r="F50" s="31">
        <f>Reorder_Model!M48</f>
        <v>5.625</v>
      </c>
      <c r="G50" s="31">
        <f>Reorder_Model!O48</f>
        <v>140.56944524320613</v>
      </c>
      <c r="H50" s="15" t="str">
        <f>Reorder_Model!Q48</f>
        <v>Monitor</v>
      </c>
    </row>
    <row r="51" spans="1:8">
      <c r="A51" s="13" t="str">
        <f>Reorder_Model!A49</f>
        <v>ACC-LON-147</v>
      </c>
      <c r="B51" s="14" t="str">
        <f>Reorder_Model!B49</f>
        <v>Accessories</v>
      </c>
      <c r="C51" s="14" t="str">
        <f>Reorder_Model!D49</f>
        <v>London Central</v>
      </c>
      <c r="D51" s="27">
        <f>Reorder_Model!F49</f>
        <v>128</v>
      </c>
      <c r="E51" s="29">
        <f>Reorder_Model!G49</f>
        <v>31.3</v>
      </c>
      <c r="F51" s="31">
        <f>Reorder_Model!M49</f>
        <v>5.0479233226837064</v>
      </c>
      <c r="G51" s="31">
        <f>Reorder_Model!O49</f>
        <v>113.50461717761956</v>
      </c>
      <c r="H51" s="15" t="str">
        <f>Reorder_Model!Q49</f>
        <v>Monitor</v>
      </c>
    </row>
    <row r="52" spans="1:8">
      <c r="A52" s="13" t="str">
        <f>Reorder_Model!A50</f>
        <v>MON-BIR-148</v>
      </c>
      <c r="B52" s="14" t="str">
        <f>Reorder_Model!B50</f>
        <v>Monitors</v>
      </c>
      <c r="C52" s="14" t="str">
        <f>Reorder_Model!D50</f>
        <v>Birmingham DC</v>
      </c>
      <c r="D52" s="27">
        <f>Reorder_Model!F50</f>
        <v>97</v>
      </c>
      <c r="E52" s="29">
        <f>Reorder_Model!G50</f>
        <v>15.7</v>
      </c>
      <c r="F52" s="31">
        <f>Reorder_Model!M50</f>
        <v>8.7261146496815289</v>
      </c>
      <c r="G52" s="31">
        <f>Reorder_Model!O50</f>
        <v>102.99199999999999</v>
      </c>
      <c r="H52" s="15" t="str">
        <f>Reorder_Model!Q50</f>
        <v>Monitor</v>
      </c>
    </row>
    <row r="53" spans="1:8">
      <c r="A53" s="13" t="str">
        <f>Reorder_Model!A51</f>
        <v>MON-BIR-149</v>
      </c>
      <c r="B53" s="14" t="str">
        <f>Reorder_Model!B51</f>
        <v>Monitors</v>
      </c>
      <c r="C53" s="14" t="str">
        <f>Reorder_Model!D51</f>
        <v>Birmingham DC</v>
      </c>
      <c r="D53" s="27">
        <f>Reorder_Model!F51</f>
        <v>85</v>
      </c>
      <c r="E53" s="29">
        <f>Reorder_Model!G51</f>
        <v>14.3</v>
      </c>
      <c r="F53" s="31">
        <f>Reorder_Model!M51</f>
        <v>7.3426573426573425</v>
      </c>
      <c r="G53" s="31">
        <f>Reorder_Model!O51</f>
        <v>90.09</v>
      </c>
      <c r="H53" s="15" t="str">
        <f>Reorder_Model!Q51</f>
        <v>Monitor</v>
      </c>
    </row>
    <row r="54" spans="1:8">
      <c r="A54" s="13" t="str">
        <f>Reorder_Model!A52</f>
        <v>MON-BIR-150</v>
      </c>
      <c r="B54" s="14" t="str">
        <f>Reorder_Model!B52</f>
        <v>Monitors</v>
      </c>
      <c r="C54" s="14" t="str">
        <f>Reorder_Model!D52</f>
        <v>Birmingham DC</v>
      </c>
      <c r="D54" s="27">
        <f>Reorder_Model!F52</f>
        <v>64</v>
      </c>
      <c r="E54" s="29">
        <f>Reorder_Model!G52</f>
        <v>15</v>
      </c>
      <c r="F54" s="31">
        <f>Reorder_Model!M52</f>
        <v>4.9333333333333336</v>
      </c>
      <c r="G54" s="31">
        <f>Reorder_Model!O52</f>
        <v>102</v>
      </c>
      <c r="H54" s="15" t="str">
        <f>Reorder_Model!Q52</f>
        <v>Reorder</v>
      </c>
    </row>
    <row r="55" spans="1:8">
      <c r="A55" s="13" t="str">
        <f>Reorder_Model!A53</f>
        <v>MON-BIR-151</v>
      </c>
      <c r="B55" s="14" t="str">
        <f>Reorder_Model!B53</f>
        <v>Monitors</v>
      </c>
      <c r="C55" s="14" t="str">
        <f>Reorder_Model!D53</f>
        <v>Birmingham DC</v>
      </c>
      <c r="D55" s="27">
        <f>Reorder_Model!F53</f>
        <v>93</v>
      </c>
      <c r="E55" s="29">
        <f>Reorder_Model!G53</f>
        <v>16.7</v>
      </c>
      <c r="F55" s="31">
        <f>Reorder_Model!M53</f>
        <v>7.9640718562874255</v>
      </c>
      <c r="G55" s="31">
        <f>Reorder_Model!O53</f>
        <v>54.795635409763634</v>
      </c>
      <c r="H55" s="15" t="str">
        <f>Reorder_Model!Q53</f>
        <v>Monitor</v>
      </c>
    </row>
    <row r="56" spans="1:8">
      <c r="A56" s="13" t="str">
        <f>Reorder_Model!A54</f>
        <v>MON-MAN-152</v>
      </c>
      <c r="B56" s="14" t="str">
        <f>Reorder_Model!B54</f>
        <v>Monitors</v>
      </c>
      <c r="C56" s="14" t="str">
        <f>Reorder_Model!D54</f>
        <v>Manchester Hub</v>
      </c>
      <c r="D56" s="27">
        <f>Reorder_Model!F54</f>
        <v>51</v>
      </c>
      <c r="E56" s="29">
        <f>Reorder_Model!G54</f>
        <v>15.2</v>
      </c>
      <c r="F56" s="31">
        <f>Reorder_Model!M54</f>
        <v>5.3289473684210531</v>
      </c>
      <c r="G56" s="31">
        <f>Reorder_Model!O54</f>
        <v>86.407117026322737</v>
      </c>
      <c r="H56" s="15" t="str">
        <f>Reorder_Model!Q54</f>
        <v>Reorder</v>
      </c>
    </row>
    <row r="57" spans="1:8">
      <c r="A57" s="13" t="str">
        <f>Reorder_Model!A55</f>
        <v>MON-MAN-153</v>
      </c>
      <c r="B57" s="14" t="str">
        <f>Reorder_Model!B55</f>
        <v>Monitors</v>
      </c>
      <c r="C57" s="14" t="str">
        <f>Reorder_Model!D55</f>
        <v>Manchester Hub</v>
      </c>
      <c r="D57" s="27">
        <f>Reorder_Model!F55</f>
        <v>91</v>
      </c>
      <c r="E57" s="29">
        <f>Reorder_Model!G55</f>
        <v>17.3</v>
      </c>
      <c r="F57" s="31">
        <f>Reorder_Model!M55</f>
        <v>5.2601156069364157</v>
      </c>
      <c r="G57" s="31">
        <f>Reorder_Model!O55</f>
        <v>37.195</v>
      </c>
      <c r="H57" s="15" t="str">
        <f>Reorder_Model!Q55</f>
        <v>Monitor</v>
      </c>
    </row>
    <row r="58" spans="1:8">
      <c r="A58" s="13" t="str">
        <f>Reorder_Model!A56</f>
        <v>MON-MAN-154</v>
      </c>
      <c r="B58" s="14" t="str">
        <f>Reorder_Model!B56</f>
        <v>Monitors</v>
      </c>
      <c r="C58" s="14" t="str">
        <f>Reorder_Model!D56</f>
        <v>Manchester Hub</v>
      </c>
      <c r="D58" s="27">
        <f>Reorder_Model!F56</f>
        <v>58</v>
      </c>
      <c r="E58" s="29">
        <f>Reorder_Model!G56</f>
        <v>15.5</v>
      </c>
      <c r="F58" s="31">
        <f>Reorder_Model!M56</f>
        <v>5.67741935483871</v>
      </c>
      <c r="G58" s="31">
        <f>Reorder_Model!O56</f>
        <v>39.525000000000006</v>
      </c>
      <c r="H58" s="15" t="str">
        <f>Reorder_Model!Q56</f>
        <v>Monitor</v>
      </c>
    </row>
    <row r="59" spans="1:8">
      <c r="A59" s="13" t="str">
        <f>Reorder_Model!A57</f>
        <v>MON-MAN-155</v>
      </c>
      <c r="B59" s="14" t="str">
        <f>Reorder_Model!B57</f>
        <v>Monitors</v>
      </c>
      <c r="C59" s="14" t="str">
        <f>Reorder_Model!D57</f>
        <v>Manchester Hub</v>
      </c>
      <c r="D59" s="27">
        <f>Reorder_Model!F57</f>
        <v>95</v>
      </c>
      <c r="E59" s="29">
        <f>Reorder_Model!G57</f>
        <v>16</v>
      </c>
      <c r="F59" s="31">
        <f>Reorder_Model!M57</f>
        <v>7.8125</v>
      </c>
      <c r="G59" s="31">
        <f>Reorder_Model!O57</f>
        <v>47.335424776311243</v>
      </c>
      <c r="H59" s="15" t="str">
        <f>Reorder_Model!Q57</f>
        <v>Monitor</v>
      </c>
    </row>
    <row r="60" spans="1:8">
      <c r="A60" s="13" t="str">
        <f>Reorder_Model!A58</f>
        <v>MON-LON-156</v>
      </c>
      <c r="B60" s="14" t="str">
        <f>Reorder_Model!B58</f>
        <v>Monitors</v>
      </c>
      <c r="C60" s="14" t="str">
        <f>Reorder_Model!D58</f>
        <v>London Central</v>
      </c>
      <c r="D60" s="27">
        <f>Reorder_Model!F58</f>
        <v>128</v>
      </c>
      <c r="E60" s="29">
        <f>Reorder_Model!G58</f>
        <v>18.100000000000001</v>
      </c>
      <c r="F60" s="31">
        <f>Reorder_Model!M58</f>
        <v>8.1767955801104968</v>
      </c>
      <c r="G60" s="31">
        <f>Reorder_Model!O58</f>
        <v>114.03</v>
      </c>
      <c r="H60" s="15" t="str">
        <f>Reorder_Model!Q58</f>
        <v>Monitor</v>
      </c>
    </row>
    <row r="61" spans="1:8">
      <c r="A61" s="13" t="str">
        <f>Reorder_Model!A59</f>
        <v>MON-LON-157</v>
      </c>
      <c r="B61" s="14" t="str">
        <f>Reorder_Model!B59</f>
        <v>Monitors</v>
      </c>
      <c r="C61" s="14" t="str">
        <f>Reorder_Model!D59</f>
        <v>London Central</v>
      </c>
      <c r="D61" s="27">
        <f>Reorder_Model!F59</f>
        <v>85</v>
      </c>
      <c r="E61" s="29">
        <f>Reorder_Model!G59</f>
        <v>14.1</v>
      </c>
      <c r="F61" s="31">
        <f>Reorder_Model!M59</f>
        <v>6.7375886524822697</v>
      </c>
      <c r="G61" s="31">
        <f>Reorder_Model!O59</f>
        <v>35.954999999999998</v>
      </c>
      <c r="H61" s="15" t="str">
        <f>Reorder_Model!Q59</f>
        <v>Monitor</v>
      </c>
    </row>
    <row r="62" spans="1:8">
      <c r="A62" s="13" t="str">
        <f>Reorder_Model!A60</f>
        <v>MON-LON-158</v>
      </c>
      <c r="B62" s="14" t="str">
        <f>Reorder_Model!B60</f>
        <v>Monitors</v>
      </c>
      <c r="C62" s="14" t="str">
        <f>Reorder_Model!D60</f>
        <v>London Central</v>
      </c>
      <c r="D62" s="27">
        <f>Reorder_Model!F60</f>
        <v>77</v>
      </c>
      <c r="E62" s="29">
        <f>Reorder_Model!G60</f>
        <v>18.2</v>
      </c>
      <c r="F62" s="31">
        <f>Reorder_Model!M60</f>
        <v>4.2307692307692308</v>
      </c>
      <c r="G62" s="31">
        <f>Reorder_Model!O60</f>
        <v>98.732654576854969</v>
      </c>
      <c r="H62" s="15" t="str">
        <f>Reorder_Model!Q60</f>
        <v>Reorder</v>
      </c>
    </row>
    <row r="63" spans="1:8">
      <c r="A63" s="13" t="str">
        <f>Reorder_Model!A61</f>
        <v>MON-LON-159</v>
      </c>
      <c r="B63" s="14" t="str">
        <f>Reorder_Model!B61</f>
        <v>Monitors</v>
      </c>
      <c r="C63" s="14" t="str">
        <f>Reorder_Model!D61</f>
        <v>London Central</v>
      </c>
      <c r="D63" s="27">
        <f>Reorder_Model!F61</f>
        <v>45</v>
      </c>
      <c r="E63" s="29">
        <f>Reorder_Model!G61</f>
        <v>13.9</v>
      </c>
      <c r="F63" s="31">
        <f>Reorder_Model!M61</f>
        <v>5.3956834532374103</v>
      </c>
      <c r="G63" s="31">
        <f>Reorder_Model!O61</f>
        <v>91.183999999999997</v>
      </c>
      <c r="H63" s="15" t="str">
        <f>Reorder_Model!Q61</f>
        <v>Reorder</v>
      </c>
    </row>
    <row r="64" spans="1:8">
      <c r="A64" s="13" t="str">
        <f>Reorder_Model!A62</f>
        <v>PRI-BIR-160</v>
      </c>
      <c r="B64" s="14" t="str">
        <f>Reorder_Model!B62</f>
        <v>Printers</v>
      </c>
      <c r="C64" s="14" t="str">
        <f>Reorder_Model!D62</f>
        <v>Birmingham DC</v>
      </c>
      <c r="D64" s="27">
        <f>Reorder_Model!F62</f>
        <v>88</v>
      </c>
      <c r="E64" s="29">
        <f>Reorder_Model!G62</f>
        <v>12.8</v>
      </c>
      <c r="F64" s="31">
        <f>Reorder_Model!M62</f>
        <v>6.875</v>
      </c>
      <c r="G64" s="31">
        <f>Reorder_Model!O62</f>
        <v>72.763888022166526</v>
      </c>
      <c r="H64" s="15" t="str">
        <f>Reorder_Model!Q62</f>
        <v>Monitor</v>
      </c>
    </row>
    <row r="65" spans="1:8">
      <c r="A65" s="13" t="str">
        <f>Reorder_Model!A63</f>
        <v>PRI-BIR-161</v>
      </c>
      <c r="B65" s="14" t="str">
        <f>Reorder_Model!B63</f>
        <v>Printers</v>
      </c>
      <c r="C65" s="14" t="str">
        <f>Reorder_Model!D63</f>
        <v>Birmingham DC</v>
      </c>
      <c r="D65" s="27">
        <f>Reorder_Model!F63</f>
        <v>37</v>
      </c>
      <c r="E65" s="29">
        <f>Reorder_Model!G63</f>
        <v>11.1</v>
      </c>
      <c r="F65" s="31">
        <f>Reorder_Model!M63</f>
        <v>3.3333333333333335</v>
      </c>
      <c r="G65" s="31">
        <f>Reorder_Model!O63</f>
        <v>49.012395660929727</v>
      </c>
      <c r="H65" s="15" t="str">
        <f>Reorder_Model!Q63</f>
        <v>Reorder</v>
      </c>
    </row>
    <row r="66" spans="1:8">
      <c r="A66" s="13" t="str">
        <f>Reorder_Model!A64</f>
        <v>PRI-BIR-162</v>
      </c>
      <c r="B66" s="14" t="str">
        <f>Reorder_Model!B64</f>
        <v>Printers</v>
      </c>
      <c r="C66" s="14" t="str">
        <f>Reorder_Model!D64</f>
        <v>Birmingham DC</v>
      </c>
      <c r="D66" s="27">
        <f>Reorder_Model!F64</f>
        <v>92</v>
      </c>
      <c r="E66" s="29">
        <f>Reorder_Model!G64</f>
        <v>13.8</v>
      </c>
      <c r="F66" s="31">
        <f>Reorder_Model!M64</f>
        <v>6.6666666666666661</v>
      </c>
      <c r="G66" s="31">
        <f>Reorder_Model!O64</f>
        <v>50.043569234861017</v>
      </c>
      <c r="H66" s="15" t="str">
        <f>Reorder_Model!Q64</f>
        <v>Monitor</v>
      </c>
    </row>
    <row r="67" spans="1:8">
      <c r="A67" s="13" t="str">
        <f>Reorder_Model!A65</f>
        <v>PRI-BIR-163</v>
      </c>
      <c r="B67" s="14" t="str">
        <f>Reorder_Model!B65</f>
        <v>Printers</v>
      </c>
      <c r="C67" s="14" t="str">
        <f>Reorder_Model!D65</f>
        <v>Birmingham DC</v>
      </c>
      <c r="D67" s="27">
        <f>Reorder_Model!F65</f>
        <v>69</v>
      </c>
      <c r="E67" s="29">
        <f>Reorder_Model!G65</f>
        <v>13.4</v>
      </c>
      <c r="F67" s="31">
        <f>Reorder_Model!M65</f>
        <v>8.1343283582089558</v>
      </c>
      <c r="G67" s="31">
        <f>Reorder_Model!O65</f>
        <v>61.961531784834285</v>
      </c>
      <c r="H67" s="15" t="str">
        <f>Reorder_Model!Q65</f>
        <v>Monitor</v>
      </c>
    </row>
    <row r="68" spans="1:8">
      <c r="A68" s="13" t="str">
        <f>Reorder_Model!A66</f>
        <v>PRI-MAN-164</v>
      </c>
      <c r="B68" s="14" t="str">
        <f>Reorder_Model!B66</f>
        <v>Printers</v>
      </c>
      <c r="C68" s="14" t="str">
        <f>Reorder_Model!D66</f>
        <v>Manchester Hub</v>
      </c>
      <c r="D68" s="27">
        <f>Reorder_Model!F66</f>
        <v>70</v>
      </c>
      <c r="E68" s="29">
        <f>Reorder_Model!G66</f>
        <v>13.2</v>
      </c>
      <c r="F68" s="31">
        <f>Reorder_Model!M66</f>
        <v>7.5757575757575761</v>
      </c>
      <c r="G68" s="31">
        <f>Reorder_Model!O66</f>
        <v>31.679999999999996</v>
      </c>
      <c r="H68" s="15" t="str">
        <f>Reorder_Model!Q66</f>
        <v>Monitor</v>
      </c>
    </row>
    <row r="69" spans="1:8">
      <c r="A69" s="13" t="str">
        <f>Reorder_Model!A67</f>
        <v>PRI-MAN-165</v>
      </c>
      <c r="B69" s="14" t="str">
        <f>Reorder_Model!B67</f>
        <v>Printers</v>
      </c>
      <c r="C69" s="14" t="str">
        <f>Reorder_Model!D67</f>
        <v>Manchester Hub</v>
      </c>
      <c r="D69" s="27">
        <f>Reorder_Model!F67</f>
        <v>73</v>
      </c>
      <c r="E69" s="29">
        <f>Reorder_Model!G67</f>
        <v>13.5</v>
      </c>
      <c r="F69" s="31">
        <f>Reorder_Model!M67</f>
        <v>8.3703703703703702</v>
      </c>
      <c r="G69" s="31">
        <f>Reorder_Model!O67</f>
        <v>67.390088787506812</v>
      </c>
      <c r="H69" s="15" t="str">
        <f>Reorder_Model!Q67</f>
        <v>Monitor</v>
      </c>
    </row>
    <row r="70" spans="1:8">
      <c r="A70" s="13" t="str">
        <f>Reorder_Model!A68</f>
        <v>PRI-MAN-166</v>
      </c>
      <c r="B70" s="14" t="str">
        <f>Reorder_Model!B68</f>
        <v>Printers</v>
      </c>
      <c r="C70" s="14" t="str">
        <f>Reorder_Model!D68</f>
        <v>Manchester Hub</v>
      </c>
      <c r="D70" s="27">
        <f>Reorder_Model!F68</f>
        <v>65</v>
      </c>
      <c r="E70" s="29">
        <f>Reorder_Model!G68</f>
        <v>11.9</v>
      </c>
      <c r="F70" s="31">
        <f>Reorder_Model!M68</f>
        <v>7.1428571428571423</v>
      </c>
      <c r="G70" s="31">
        <f>Reorder_Model!O68</f>
        <v>64.555966454097501</v>
      </c>
      <c r="H70" s="15" t="str">
        <f>Reorder_Model!Q68</f>
        <v>Monitor</v>
      </c>
    </row>
    <row r="71" spans="1:8">
      <c r="A71" s="13" t="str">
        <f>Reorder_Model!A69</f>
        <v>PRI-MAN-167</v>
      </c>
      <c r="B71" s="14" t="str">
        <f>Reorder_Model!B69</f>
        <v>Printers</v>
      </c>
      <c r="C71" s="14" t="str">
        <f>Reorder_Model!D69</f>
        <v>Manchester Hub</v>
      </c>
      <c r="D71" s="27">
        <f>Reorder_Model!F69</f>
        <v>69</v>
      </c>
      <c r="E71" s="29">
        <f>Reorder_Model!G69</f>
        <v>10.4</v>
      </c>
      <c r="F71" s="31">
        <f>Reorder_Model!M69</f>
        <v>6.6346153846153841</v>
      </c>
      <c r="G71" s="31">
        <f>Reorder_Model!O69</f>
        <v>37.713994205982218</v>
      </c>
      <c r="H71" s="15" t="str">
        <f>Reorder_Model!Q69</f>
        <v>Monitor</v>
      </c>
    </row>
    <row r="72" spans="1:8">
      <c r="A72" s="13" t="str">
        <f>Reorder_Model!A70</f>
        <v>PRI-LON-168</v>
      </c>
      <c r="B72" s="14" t="str">
        <f>Reorder_Model!B70</f>
        <v>Printers</v>
      </c>
      <c r="C72" s="14" t="str">
        <f>Reorder_Model!D70</f>
        <v>London Central</v>
      </c>
      <c r="D72" s="27">
        <f>Reorder_Model!F70</f>
        <v>86</v>
      </c>
      <c r="E72" s="29">
        <f>Reorder_Model!G70</f>
        <v>13</v>
      </c>
      <c r="F72" s="31">
        <f>Reorder_Model!M70</f>
        <v>9.6923076923076916</v>
      </c>
      <c r="G72" s="31">
        <f>Reorder_Model!O70</f>
        <v>88.4</v>
      </c>
      <c r="H72" s="15" t="str">
        <f>Reorder_Model!Q70</f>
        <v>Monitor</v>
      </c>
    </row>
    <row r="73" spans="1:8">
      <c r="A73" s="13" t="str">
        <f>Reorder_Model!A71</f>
        <v>PRI-LON-169</v>
      </c>
      <c r="B73" s="14" t="str">
        <f>Reorder_Model!B71</f>
        <v>Printers</v>
      </c>
      <c r="C73" s="14" t="str">
        <f>Reorder_Model!D71</f>
        <v>London Central</v>
      </c>
      <c r="D73" s="27">
        <f>Reorder_Model!F71</f>
        <v>48</v>
      </c>
      <c r="E73" s="29">
        <f>Reorder_Model!G71</f>
        <v>11.1</v>
      </c>
      <c r="F73" s="31">
        <f>Reorder_Model!M71</f>
        <v>7.0270270270270272</v>
      </c>
      <c r="G73" s="31">
        <f>Reorder_Model!O71</f>
        <v>46.531544340629097</v>
      </c>
      <c r="H73" s="15" t="str">
        <f>Reorder_Model!Q71</f>
        <v>Monitor</v>
      </c>
    </row>
    <row r="74" spans="1:8">
      <c r="A74" s="13" t="str">
        <f>Reorder_Model!A72</f>
        <v>PRI-LON-170</v>
      </c>
      <c r="B74" s="14" t="str">
        <f>Reorder_Model!B72</f>
        <v>Printers</v>
      </c>
      <c r="C74" s="14" t="str">
        <f>Reorder_Model!D72</f>
        <v>London Central</v>
      </c>
      <c r="D74" s="27">
        <f>Reorder_Model!F72</f>
        <v>48</v>
      </c>
      <c r="E74" s="29">
        <f>Reorder_Model!G72</f>
        <v>10.9</v>
      </c>
      <c r="F74" s="31">
        <f>Reorder_Model!M72</f>
        <v>8.0733944954128436</v>
      </c>
      <c r="G74" s="31">
        <f>Reorder_Model!O72</f>
        <v>77.39</v>
      </c>
      <c r="H74" s="15" t="str">
        <f>Reorder_Model!Q72</f>
        <v>Monitor</v>
      </c>
    </row>
    <row r="75" spans="1:8">
      <c r="A75" s="16" t="str">
        <f>Reorder_Model!A73</f>
        <v>PRI-LON-171</v>
      </c>
      <c r="B75" s="17" t="str">
        <f>Reorder_Model!B73</f>
        <v>Printers</v>
      </c>
      <c r="C75" s="17" t="str">
        <f>Reorder_Model!D73</f>
        <v>London Central</v>
      </c>
      <c r="D75" s="28">
        <f>Reorder_Model!F73</f>
        <v>43</v>
      </c>
      <c r="E75" s="30">
        <f>Reorder_Model!G73</f>
        <v>13.1</v>
      </c>
      <c r="F75" s="32">
        <f>Reorder_Model!M73</f>
        <v>6.33587786259542</v>
      </c>
      <c r="G75" s="32">
        <f>Reorder_Model!O73</f>
        <v>42.983402626820578</v>
      </c>
      <c r="H75" s="18" t="str">
        <f>Reorder_Model!Q73</f>
        <v>Monitor</v>
      </c>
    </row>
  </sheetData>
  <mergeCells count="1">
    <mergeCell ref="A1:H1"/>
  </mergeCells>
  <conditionalFormatting sqref="H4:H75">
    <cfRule type="expression" dxfId="1" priority="1">
      <formula>H4="Reorder"</formula>
    </cfRule>
    <cfRule type="expression" dxfId="0" priority="2">
      <formula>H4="OK"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Raw_Inventory_Data</vt:lpstr>
      <vt:lpstr>Stock_Movements</vt:lpstr>
      <vt:lpstr>Reorder_Model</vt:lpstr>
      <vt:lpstr>KPIs</vt:lpstr>
      <vt:lpstr>Analysis</vt:lpstr>
      <vt:lpstr>Scenario_Model</vt:lpstr>
      <vt:lpstr>Dashboard</vt:lpstr>
      <vt:lpstr>Control_Panel</vt:lpstr>
      <vt:lpstr>Action_View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Danny Duong</cp:lastModifiedBy>
  <dcterms:created xsi:type="dcterms:W3CDTF">2026-04-18T21:03:33Z</dcterms:created>
  <dcterms:modified xsi:type="dcterms:W3CDTF">2026-04-18T21:03:37Z</dcterms:modified>
</cp:coreProperties>
</file>